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598529855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補一覧" sheetId="1" r:id="Rf718863fb87443e9"/>
    <x:sheet xmlns:r="http://schemas.openxmlformats.org/officeDocument/2006/relationships" name="GameDay比較" sheetId="2" r:id="R99c894f3d7b14270"/>
    <x:sheet xmlns:r="http://schemas.openxmlformats.org/officeDocument/2006/relationships" name="1週間と準備" sheetId="3" r:id="R70208d3f2ff74046"/>
    <x:sheet xmlns:r="http://schemas.openxmlformats.org/officeDocument/2006/relationships" name="開催回と予約" sheetId="4" r:id="Rd9d0b07fbc6d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hh:mm"/>
  </x:numFmts>
  <x:fonts count="6">
    <x:font>
      <x:sz val="11"/>
      <x:name val="Carlito"/>
    </x:font>
    <x:font>
      <x:sz val="10"/>
      <x:color rgb="FF202B38"/>
      <x:name val="Arial"/>
    </x:font>
    <x:font>
      <x:b/>
      <x:sz val="15"/>
      <x:color rgb="FF14283F"/>
      <x:name val="Arial"/>
    </x:font>
    <x:font>
      <x:sz val="10"/>
      <x:color rgb="FF526477"/>
      <x:name val="Arial"/>
    </x:font>
    <x:font>
      <x:b/>
      <x:sz val="10"/>
      <x:color rgb="FFFFFFFF"/>
      <x:name val="Arial"/>
    </x:font>
    <x:font>
      <x:sz val="10"/>
      <x:color rgb="FF1665A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74C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5B30"/>
      </x:font>
      <x:fill>
        <x:patternFill patternType="solid">
          <x:bgColor rgb="FFDDEEDC"/>
        </x:patternFill>
      </x:fill>
    </x:dxf>
    <x:dxf>
      <x:font>
        <x:b/>
      </x:font>
      <x:fill>
        <x:patternFill patternType="solid">
          <x:bgColor rgb="FFDDEEDC"/>
        </x:patternFill>
      </x:fill>
    </x:dxf>
    <x:dxf>
      <x:font>
        <x:b/>
        <x:color rgb="FF275B30"/>
      </x:font>
      <x:fill>
        <x:patternFill patternType="solid">
          <x:bgColor rgb="FFDD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91d70dd345aa" /><Relationship Type="http://schemas.openxmlformats.org/officeDocument/2006/relationships/theme" Target="/xl/theme/theme1.xml" Id="R0bc93f6857ef4bb2" /><Relationship Type="http://schemas.openxmlformats.org/officeDocument/2006/relationships/sharedStrings" Target="/xl/sharedStrings.xml" Id="Rc2cc4778e2694b7e" /><Relationship Type="http://schemas.openxmlformats.org/officeDocument/2006/relationships/worksheet" Target="/xl/worksheets/sheet1.xml" Id="Rf718863fb87443e9" /><Relationship Type="http://schemas.openxmlformats.org/officeDocument/2006/relationships/worksheet" Target="/xl/worksheets/sheet2.xml" Id="R99c894f3d7b14270" /><Relationship Type="http://schemas.openxmlformats.org/officeDocument/2006/relationships/worksheet" Target="/xl/worksheets/sheet3.xml" Id="R70208d3f2ff74046" /><Relationship Type="http://schemas.openxmlformats.org/officeDocument/2006/relationships/worksheet" Target="/xl/worksheets/sheet4.xml" Id="Rd9d0b07fbc6d400f" /></Relationships>
</file>

<file path=xl/tables/table1.xml><?xml version="1.0" encoding="utf-8"?>
<x:table xmlns:x="http://schemas.openxmlformats.org/spreadsheetml/2006/main" id="1" name="SessionPicks" displayName="SessionPicks" ref="A7:N67" headerRowCount="1" totalsRowCount="0" totalsRowShown="0">
  <x:autoFilter ref="A7:N67"/>
  <x:tableColumns count="14">
    <x:tableColumn id="1" name="選択"/>
    <x:tableColumn id="2" name="優先度"/>
    <x:tableColumn id="3" name="主な分野"/>
    <x:tableColumn id="4" name="コード"/>
    <x:tableColumn id="5" name="公式タイトル"/>
    <x:tableColumn id="6" name="公式形式"/>
    <x:tableColumn id="7" name="レベル"/>
    <x:tableColumn id="8" name="何をするか"/>
    <x:tableColumn id="9" name="選ぶ理由と注意"/>
    <x:tableColumn id="10" name="英会話負担の目安"/>
    <x:tableColumn id="11" name="予習の目安"/>
    <x:tableColumn id="12" name="録画の扱い"/>
    <x:tableColumn id="13" name="開催回コード"/>
    <x:tableColumn id="14" name="公式リン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meComparison" displayName="GameComparison" ref="A7:J20" headerRowCount="1" totalsRowCount="0" totalsRowShown="0">
  <x:autoFilter ref="A7:J20"/>
  <x:tableColumns count="10">
    <x:tableColumn id="1" name="順"/>
    <x:tableColumn id="2" name="コード"/>
    <x:tableColumn id="3" name="優先度"/>
    <x:tableColumn id="4" name="公式形式"/>
    <x:tableColumn id="5" name="おすすめの使い分け"/>
    <x:tableColumn id="6" name="英会話負担の目安"/>
    <x:tableColumn id="7" name="参加・チーム方式"/>
    <x:tableColumn id="8" name="支援の記載"/>
    <x:tableColumn id="9" name="選ぶ理由と注意"/>
    <x:tableColumn id="10" name="公式リン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Plan" displayName="WeekPlan" ref="A7:D36" headerRowCount="1" totalsRowCount="0" totalsRowShown="0">
  <x:autoFilter ref="A7:D36"/>
  <x:tableColumns count="4">
    <x:tableColumn id="1" name="項目"/>
    <x:tableColumn id="2" name="提案・確認事項"/>
    <x:tableColumn id="3" name="具体的な使い方"/>
    <x:tableColumn id="4" name="根拠・区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ccurrences" displayName="Occurrences" ref="A7:L93" headerRowCount="1" totalsRowCount="0" totalsRowShown="0">
  <x:autoFilter ref="A7:L93"/>
  <x:tableColumns count="12">
    <x:tableColumn id="1" name="基本コード"/>
    <x:tableColumn id="2" name="開催回コード"/>
    <x:tableColumn id="3" name="公式タイトル"/>
    <x:tableColumn id="4" name="予約状況"/>
    <x:tableColumn id="5" name="開催日 現地"/>
    <x:tableColumn id="6" name="開始 現地"/>
    <x:tableColumn id="7" name="終了 現地"/>
    <x:tableColumn id="8" name="会場・部屋"/>
    <x:tableColumn id="9" name="日程確認"/>
    <x:tableColumn id="10" name="PCの掲載表示"/>
    <x:tableColumn id="11" name="メモ"/>
    <x:tableColumn id="12" name="公式リン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c423bd71a843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62c6e49e9648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02cbbfabdc4b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d85689b8084336" /></Relationships>
</file>

<file path=xl/worksheets/sheet1.xml><?xml version="1.0" encoding="utf-8"?>
<x:worksheet xmlns:x="http://schemas.openxmlformats.org/spreadsheetml/2006/main">
  <x:sheetPr>
    <x:tabColor rgb="FF21374C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5" hidden="0" customWidth="1"/>
    <x:col min="5" max="5" width="55" hidden="0" customWidth="1"/>
    <x:col min="6" max="6" width="22" hidden="0" customWidth="1"/>
    <x:col min="7" max="7" width="9" hidden="0" customWidth="1"/>
    <x:col min="8" max="8" width="54" hidden="0" customWidth="1"/>
    <x:col min="9" max="9" width="48" hidden="0" customWidth="1"/>
    <x:col min="10" max="10" width="27" hidden="0" customWidth="1"/>
    <x:col min="11" max="11" width="32" hidden="0" customWidth="1"/>
    <x:col min="12" max="12" width="24" hidden="0" customWidth="1"/>
    <x:col min="13" max="13" width="23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7" customHeight="1">
      <x:c r="A2" s="2" t="str">
        <x:v>AWS re Invent 2026 実習セッション候補60選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3" t="str">
        <x:v>2026年10月6日確認。Aから選び、GameDay系は1本を軸に。英会話負担・予習は選定上の目安。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A 最優先＝関心と実習性が強く一致。B 有力＝代替・補完。C 発展・条件付き＝前提知識や操作範囲を確認。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出典：AWS公式カタログ。形式・レベル・タイトルは掲載情報。日本語要約と優先度は推薦判断。全候補の日時・会場・空席は未確認。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8" t="str">
        <x:v>選択</x:v>
      </x:c>
      <x:c r="B7" s="8" t="str">
        <x:v>優先度</x:v>
      </x:c>
      <x:c r="C7" s="8" t="str">
        <x:v>主な分野</x:v>
      </x:c>
      <x:c r="D7" s="8" t="str">
        <x:v>コード</x:v>
      </x:c>
      <x:c r="E7" s="8" t="str">
        <x:v>公式タイトル</x:v>
      </x:c>
      <x:c r="F7" s="8" t="str">
        <x:v>公式形式</x:v>
      </x:c>
      <x:c r="G7" s="8" t="str">
        <x:v>レベル</x:v>
      </x:c>
      <x:c r="H7" s="8" t="str">
        <x:v>何をするか</x:v>
      </x:c>
      <x:c r="I7" s="8" t="str">
        <x:v>選ぶ理由と注意</x:v>
      </x:c>
      <x:c r="J7" s="8" t="str">
        <x:v>英会話負担の目安</x:v>
      </x:c>
      <x:c r="K7" s="8" t="str">
        <x:v>予習の目安</x:v>
      </x:c>
      <x:c r="L7" s="8" t="str">
        <x:v>録画の扱い</x:v>
      </x:c>
      <x:c r="M7" s="8" t="str">
        <x:v>開催回コード</x:v>
      </x:c>
      <x:c r="N7" s="8" t="str">
        <x:v>公式リンク</x:v>
      </x:c>
    </x:row>
    <x:row r="8" ht="56" customHeight="1">
      <x:c r="A8" s="11" t="str">
        <x:v>未選択</x:v>
      </x:c>
      <x:c r="B8" s="10" t="str">
        <x:v>A 最優先</x:v>
      </x:c>
      <x:c r="C8" s="10" t="str">
        <x:v>GameDay</x:v>
      </x:c>
      <x:c r="D8" s="10" t="str">
        <x:v>GHJ302-S</x:v>
      </x:c>
      <x:c r="E8" s="10" t="str">
        <x:v>AWS GameDay - Resilience &amp; Disaster Recovery ft. Clumio by Commvault</x:v>
      </x:c>
      <x:c r="F8" s="10" t="str">
        <x:v>Gamified learning</x:v>
      </x:c>
      <x:c r="G8" s="10" t="n">
        <x:v>300</x:v>
      </x:c>
      <x:c r="H8" s="10" t="str">
        <x:v>バックアップ・復旧手順・リージョン間複製・RPO/RTO・自動フェイルオーバーをチームで検証。</x:v>
      </x:c>
      <x:c r="I8" s="10" t="str">
        <x:v>ストレージ、DB保護、アーキテクチャを横断。GameDay第一候補。</x:v>
      </x:c>
      <x:c r="J8" s="10" t="str">
        <x:v>高：チーム調整・時間制約</x:v>
      </x:c>
      <x:c r="K8" s="10" t="str">
        <x:v>バックアップ設計、RPO/RTOの復習</x:v>
      </x:c>
      <x:c r="L8" s="10" t="str">
        <x:v>公開未確認／実習体験を優先</x:v>
      </x:c>
      <x:c r="M8" s="10" t="str">
        <x:v>GHJ302-S</x:v>
      </x:c>
      <x:c r="N8" s="12" t="e">
        <x:f>HYPERLINK("https://registration.awsevents.com/flow/awsevents/reinvent2026/eventcatalog/page/eventcatalog?search=GHJ302-S","公式カタログ")</x:f>
        <x:v>HYPERLINK is not implemented. linkLocation=https://registration.awsevents.com/flow/awsevents/reinvent2026/eventcatalog/page/eventcatalog?search=GHJ302-S, friendlyName=公式カタログ</x:v>
      </x:c>
    </x:row>
    <x:row r="9" ht="56" customHeight="1">
      <x:c r="A9" s="11" t="str">
        <x:v>未選択</x:v>
      </x:c>
      <x:c r="B9" s="10" t="str">
        <x:v>A 最優先</x:v>
      </x:c>
      <x:c r="C9" s="10" t="str">
        <x:v>Jam</x:v>
      </x:c>
      <x:c r="D9" s="10" t="str">
        <x:v>GHJ312</x:v>
      </x:c>
      <x:c r="E9" s="10" t="str">
        <x:v>DevOps and Modernization Jam</x:v>
      </x:c>
      <x:c r="F9" s="10" t="str">
        <x:v>Gamified learning</x:v>
      </x:c>
      <x:c r="G9" s="10" t="n">
        <x:v>300</x:v>
      </x:c>
      <x:c r="H9" s="10" t="str">
        <x:v>DevOps環境の改善とアーキテクチャのモダナイズを競技形式で実践。</x:v>
      </x:c>
      <x:c r="I9" s="10" t="str">
        <x:v>ヒント・ガイド・専門家支援が明記。英会話が心配な場合の第一代替。</x:v>
      </x:c>
      <x:c r="J9" s="10" t="str">
        <x:v>中〜高：ヒントと専門家支援</x:v>
      </x:c>
      <x:c r="K9" s="10" t="str">
        <x:v>CI/CDと基本的なAWS操作</x:v>
      </x:c>
      <x:c r="L9" s="10" t="str">
        <x:v>公開未確認／実習体験を優先</x:v>
      </x:c>
      <x:c r="M9" s="10" t="str">
        <x:v>GHJ312</x:v>
      </x:c>
      <x:c r="N9" s="12" t="e">
        <x:f>HYPERLINK("https://registration.awsevents.com/flow/awsevents/reinvent2026/eventcatalog/page/eventcatalog?search=GHJ312","公式カタログ")</x:f>
        <x:v>HYPERLINK is not implemented. linkLocation=https://registration.awsevents.com/flow/awsevents/reinvent2026/eventcatalog/page/eventcatalog?search=GHJ312, friendlyName=公式カタログ</x:v>
      </x:c>
    </x:row>
    <x:row r="10" ht="56" customHeight="1">
      <x:c r="A10" s="11" t="str">
        <x:v>未選択</x:v>
      </x:c>
      <x:c r="B10" s="10" t="str">
        <x:v>A 最優先</x:v>
      </x:c>
      <x:c r="C10" s="10" t="str">
        <x:v>Jam</x:v>
      </x:c>
      <x:c r="D10" s="10" t="str">
        <x:v>GHJ310-S</x:v>
      </x:c>
      <x:c r="E10" s="10" t="str">
        <x:v>Security Jam - sponsored by Fortinet</x:v>
      </x:c>
      <x:c r="F10" s="10" t="str">
        <x:v>Gamified learning</x:v>
      </x:c>
      <x:c r="G10" s="10" t="n">
        <x:v>300</x:v>
      </x:c>
      <x:c r="H10" s="10" t="str">
        <x:v>インシデント対応課題とFortinetによるクラウド保護課題に挑戦。</x:v>
      </x:c>
      <x:c r="I10" s="10" t="str">
        <x:v>セキュリティ志向の代替。ガイドと専門家支援が明記。</x:v>
      </x:c>
      <x:c r="J10" s="10" t="str">
        <x:v>中〜高：ヒントと専門家支援</x:v>
      </x:c>
      <x:c r="K10" s="10" t="str">
        <x:v>IAM、ネットワーク、ログ調査</x:v>
      </x:c>
      <x:c r="L10" s="10" t="str">
        <x:v>公開未確認／実習体験を優先</x:v>
      </x:c>
      <x:c r="M10" s="10" t="str">
        <x:v>GHJ310-S</x:v>
      </x:c>
      <x:c r="N10" s="12" t="e">
        <x:f>HYPERLINK("https://registration.awsevents.com/flow/awsevents/reinvent2026/eventcatalog/page/eventcatalog?search=GHJ310-S","公式カタログ")</x:f>
        <x:v>HYPERLINK is not implemented. linkLocation=https://registration.awsevents.com/flow/awsevents/reinvent2026/eventcatalog/page/eventcatalog?search=GHJ310-S, friendlyName=公式カタログ</x:v>
      </x:c>
    </x:row>
    <x:row r="11" ht="56" customHeight="1">
      <x:c r="A11" s="11" t="str">
        <x:v>未選択</x:v>
      </x:c>
      <x:c r="B11" s="10" t="str">
        <x:v>A 最優先</x:v>
      </x:c>
      <x:c r="C11" s="10" t="str">
        <x:v>マルチクラウド</x:v>
      </x:c>
      <x:c r="D11" s="10" t="str">
        <x:v>NET307</x:v>
      </x:c>
      <x:c r="E11" s="10" t="str">
        <x:v>Bridging clouds: Building global multicloud and hybrid networks on AWS</x:v>
      </x:c>
      <x:c r="F11" s="10" t="str">
        <x:v>Workshop</x:v>
      </x:c>
      <x:c r="G11" s="10" t="n">
        <x:v>300</x:v>
      </x:c>
      <x:c r="H11" s="10" t="str">
        <x:v>Interconnect、Direct Connect、Cloud WANでクラウド間接続を構築。VPC Latticeで保護とIP重複に対応。</x:v>
      </x:c>
      <x:c r="I11" s="10" t="str">
        <x:v>マルチクラウドを直接扱う実習で最も条件に合う。</x:v>
      </x:c>
      <x:c r="J11" s="10" t="str">
        <x:v>中：説明理解・個別質問</x:v>
      </x:c>
      <x:c r="K11" s="10" t="str">
        <x:v>VPC、ルーティング、CIDR</x:v>
      </x:c>
      <x:c r="L11" s="10" t="str">
        <x:v>公開未確認／実習体験を優先</x:v>
      </x:c>
      <x:c r="M11" s="10" t="str">
        <x:v>NET307-R1
NET307-R</x:v>
      </x:c>
      <x:c r="N11" s="12" t="e">
        <x:f>HYPERLINK("https://registration.awsevents.com/flow/awsevents/reinvent2026/eventcatalog/page/eventcatalog?search=NET307","公式カタログ")</x:f>
        <x:v>HYPERLINK is not implemented. linkLocation=https://registration.awsevents.com/flow/awsevents/reinvent2026/eventcatalog/page/eventcatalog?search=NET307, friendlyName=公式カタログ</x:v>
      </x:c>
    </x:row>
    <x:row r="12" ht="56" customHeight="1">
      <x:c r="A12" s="11" t="str">
        <x:v>未選択</x:v>
      </x:c>
      <x:c r="B12" s="10" t="str">
        <x:v>A 最優先</x:v>
      </x:c>
      <x:c r="C12" s="10" t="str">
        <x:v>マルチクラウド</x:v>
      </x:c>
      <x:c r="D12" s="10" t="str">
        <x:v>ANT418</x:v>
      </x:c>
      <x:c r="E12" s="10" t="str">
        <x:v>Experience catalog federation on AWS: build a multi-cloud open data lakehouse</x:v>
      </x:c>
      <x:c r="F12" s="10" t="str">
        <x:v>Workshop</x:v>
      </x:c>
      <x:c r="G12" s="10" t="n">
        <x:v>400</x:v>
      </x:c>
      <x:c r="H12" s="10" t="str">
        <x:v>S3 TablesとIcebergを基盤に、Snowflake・Databricks等のリモートカタログを統合。</x:v>
      </x:c>
      <x:c r="I12" s="10" t="str">
        <x:v>マルチクラウドとデータ基盤を同時に扱う。上級のためSQL・Iceberg経験があるとよい。</x:v>
      </x:c>
      <x:c r="J12" s="10" t="str">
        <x:v>中：説明理解・個別質問</x:v>
      </x:c>
      <x:c r="K12" s="10" t="str">
        <x:v>SQL、Iceberg、データカタログ</x:v>
      </x:c>
      <x:c r="L12" s="10" t="str">
        <x:v>公開未確認／実習体験を優先</x:v>
      </x:c>
      <x:c r="M12" s="10" t="str">
        <x:v>ANT418</x:v>
      </x:c>
      <x:c r="N12" s="12" t="e">
        <x:f>HYPERLINK("https://registration.awsevents.com/flow/awsevents/reinvent2026/eventcatalog/page/eventcatalog?search=ANT418","公式カタログ")</x:f>
        <x:v>HYPERLINK is not implemented. linkLocation=https://registration.awsevents.com/flow/awsevents/reinvent2026/eventcatalog/page/eventcatalog?search=ANT418, friendlyName=公式カタログ</x:v>
      </x:c>
    </x:row>
    <x:row r="13" ht="56" customHeight="1">
      <x:c r="A13" s="11" t="str">
        <x:v>未選択</x:v>
      </x:c>
      <x:c r="B13" s="10" t="str">
        <x:v>A 最優先</x:v>
      </x:c>
      <x:c r="C13" s="10" t="str">
        <x:v>マルチクラウド</x:v>
      </x:c>
      <x:c r="D13" s="10" t="str">
        <x:v>STG337</x:v>
      </x:c>
      <x:c r="E13" s="10" t="str">
        <x:v>Build and optimize data transfers with AWS DataSync Enhanced mode</x:v>
      </x:c>
      <x:c r="F13" s="10" t="str">
        <x:v>Builders' session</x:v>
      </x:c>
      <x:c r="G13" s="10" t="n">
        <x:v>300</x:v>
      </x:c>
      <x:c r="H13" s="10" t="str">
        <x:v>DataSync Enhanced modeで転送を設定し、レポートやログをBedrockで分析。</x:v>
      </x:c>
      <x:c r="I13" s="10" t="str">
        <x:v>他クラウドやオンプレミスからAWSへのデータ移動とストレージに直結。</x:v>
      </x:c>
      <x:c r="J13" s="10" t="str">
        <x:v>中：説明理解・個別質問</x:v>
      </x:c>
      <x:c r="K13" s="10" t="str">
        <x:v>S3とデータ転送の基本</x:v>
      </x:c>
      <x:c r="L13" s="10" t="str">
        <x:v>公開未確認／実習体験を優先</x:v>
      </x:c>
      <x:c r="M13" s="10" t="str">
        <x:v>STG337</x:v>
      </x:c>
      <x:c r="N13" s="12" t="e">
        <x:f>HYPERLINK("https://registration.awsevents.com/flow/awsevents/reinvent2026/eventcatalog/page/eventcatalog?search=STG337","公式カタログ")</x:f>
        <x:v>HYPERLINK is not implemented. linkLocation=https://registration.awsevents.com/flow/awsevents/reinvent2026/eventcatalog/page/eventcatalog?search=STG337, friendlyName=公式カタログ</x:v>
      </x:c>
    </x:row>
    <x:row r="14" ht="56" customHeight="1">
      <x:c r="A14" s="11" t="str">
        <x:v>未選択</x:v>
      </x:c>
      <x:c r="B14" s="10" t="str">
        <x:v>A 最優先</x:v>
      </x:c>
      <x:c r="C14" s="10" t="str">
        <x:v>IaC</x:v>
      </x:c>
      <x:c r="D14" s="10" t="str">
        <x:v>SVS302</x:v>
      </x:c>
      <x:c r="E14" s="10" t="str">
        <x:v>Building serverless applications with Terraform</x:v>
      </x:c>
      <x:c r="F14" s="10" t="str">
        <x:v>Workshop</x:v>
      </x:c>
      <x:c r="G14" s="10" t="n">
        <x:v>300</x:v>
      </x:c>
      <x:c r="H14" s="10" t="str">
        <x:v>TerraformでLambda、API Gateway、DynamoDB、EventBridgeを構成し、module・state・複数環境デプロイを学ぶ。</x:v>
      </x:c>
      <x:c r="I14" s="10" t="str">
        <x:v>IaCの直接的な実装経験を得られる最優先候補。</x:v>
      </x:c>
      <x:c r="J14" s="10" t="str">
        <x:v>中：説明理解・個別質問</x:v>
      </x:c>
      <x:c r="K14" s="10" t="str">
        <x:v>Terraformのplan/applyと基本文法</x:v>
      </x:c>
      <x:c r="L14" s="10" t="str">
        <x:v>公開未確認／実習体験を優先</x:v>
      </x:c>
      <x:c r="M14" s="10" t="str">
        <x:v>SVS302-R
SVS302-R1</x:v>
      </x:c>
      <x:c r="N14" s="12" t="e">
        <x:f>HYPERLINK("https://registration.awsevents.com/flow/awsevents/reinvent2026/eventcatalog/page/eventcatalog?search=SVS302","公式カタログ")</x:f>
        <x:v>HYPERLINK is not implemented. linkLocation=https://registration.awsevents.com/flow/awsevents/reinvent2026/eventcatalog/page/eventcatalog?search=SVS302, friendlyName=公式カタログ</x:v>
      </x:c>
    </x:row>
    <x:row r="15" ht="56" customHeight="1">
      <x:c r="A15" s="11" t="str">
        <x:v>未選択</x:v>
      </x:c>
      <x:c r="B15" s="10" t="str">
        <x:v>A 最優先</x:v>
      </x:c>
      <x:c r="C15" s="10" t="str">
        <x:v>IaC</x:v>
      </x:c>
      <x:c r="D15" s="10" t="str">
        <x:v>DVT312</x:v>
      </x:c>
      <x:c r="E15" s="10" t="str">
        <x:v>Deploy infrastructure with speed and safety using AWS CloudFormation</x:v>
      </x:c>
      <x:c r="F15" s="10" t="str">
        <x:v>Workshop</x:v>
      </x:c>
      <x:c r="G15" s="10" t="n">
        <x:v>300</x:v>
      </x:c>
      <x:c r="H15" s="10" t="str">
        <x:v>CloudFormationテンプレート、cfn-lint、Guard、変更セット検証、リファクタリング、ドリフト対応。</x:v>
      </x:c>
      <x:c r="I15" s="10" t="str">
        <x:v>IaCを安全に運用する実務に直結。</x:v>
      </x:c>
      <x:c r="J15" s="10" t="str">
        <x:v>中：説明理解・個別質問</x:v>
      </x:c>
      <x:c r="K15" s="10" t="str">
        <x:v>CloudFormation、YAML、IAM</x:v>
      </x:c>
      <x:c r="L15" s="10" t="str">
        <x:v>公開未確認／実習体験を優先</x:v>
      </x:c>
      <x:c r="M15" s="10" t="str">
        <x:v>DVT312-R
DVT312-R1</x:v>
      </x:c>
      <x:c r="N15" s="12" t="e">
        <x:f>HYPERLINK("https://registration.awsevents.com/flow/awsevents/reinvent2026/eventcatalog/page/eventcatalog?search=DVT312","公式カタログ")</x:f>
        <x:v>HYPERLINK is not implemented. linkLocation=https://registration.awsevents.com/flow/awsevents/reinvent2026/eventcatalog/page/eventcatalog?search=DVT312, friendlyName=公式カタログ</x:v>
      </x:c>
    </x:row>
    <x:row r="16" ht="56" customHeight="1">
      <x:c r="A16" s="11" t="str">
        <x:v>未選択</x:v>
      </x:c>
      <x:c r="B16" s="10" t="str">
        <x:v>A 最優先</x:v>
      </x:c>
      <x:c r="C16" s="10" t="str">
        <x:v>IaC</x:v>
      </x:c>
      <x:c r="D16" s="10" t="str">
        <x:v>ARC313</x:v>
      </x:c>
      <x:c r="E16" s="10" t="str">
        <x:v>Red, green, re-architect: Test-driven infrastructure</x:v>
      </x:c>
      <x:c r="F16" s="10" t="str">
        <x:v>Workshop</x:v>
      </x:c>
      <x:c r="G16" s="10" t="n">
        <x:v>300</x:v>
      </x:c>
      <x:c r="H16" s="10" t="str">
        <x:v>Kiroで仕様を分割しCDK assertionによるテスト駆動開発。cdk-nagで設計を改善。</x:v>
      </x:c>
      <x:c r="I16" s="10" t="str">
        <x:v>IaC、アーキテクチャ、セキュリティを一度に扱える。</x:v>
      </x:c>
      <x:c r="J16" s="10" t="str">
        <x:v>中：説明理解・個別質問</x:v>
      </x:c>
      <x:c r="K16" s="10" t="str">
        <x:v>CDK、単体テスト、Kiro</x:v>
      </x:c>
      <x:c r="L16" s="10" t="str">
        <x:v>公開未確認／実習体験を優先</x:v>
      </x:c>
      <x:c r="M16" s="10" t="str">
        <x:v>ARC313-R
ARC313-R1</x:v>
      </x:c>
      <x:c r="N16" s="12" t="e">
        <x:f>HYPERLINK("https://registration.awsevents.com/flow/awsevents/reinvent2026/eventcatalog/page/eventcatalog?search=ARC313","公式カタログ")</x:f>
        <x:v>HYPERLINK is not implemented. linkLocation=https://registration.awsevents.com/flow/awsevents/reinvent2026/eventcatalog/page/eventcatalog?search=ARC313, friendlyName=公式カタログ</x:v>
      </x:c>
    </x:row>
    <x:row r="17" ht="56" customHeight="1">
      <x:c r="A17" s="11" t="str">
        <x:v>未選択</x:v>
      </x:c>
      <x:c r="B17" s="10" t="str">
        <x:v>A 最優先</x:v>
      </x:c>
      <x:c r="C17" s="10" t="str">
        <x:v>IaC</x:v>
      </x:c>
      <x:c r="D17" s="10" t="str">
        <x:v>SEC309</x:v>
      </x:c>
      <x:c r="E17" s="10" t="str">
        <x:v>Network firewall deployment without the guesswork: codify, deploy, done</x:v>
      </x:c>
      <x:c r="F17" s="10" t="str">
        <x:v>Builders' session</x:v>
      </x:c>
      <x:c r="G17" s="10" t="n">
        <x:v>300</x:v>
      </x:c>
      <x:c r="H17" s="10" t="str">
        <x:v>Terraformで既存multi-VPC環境へNetwork Firewallを配置。経路、検査、ログ、ルールを設定。</x:v>
      </x:c>
      <x:c r="I17" s="10" t="str">
        <x:v>IaCとセキュリティの両方に合う。形式は公式分類ではBuilders。</x:v>
      </x:c>
      <x:c r="J17" s="10" t="str">
        <x:v>中：説明理解・個別質問</x:v>
      </x:c>
      <x:c r="K17" s="10" t="str">
        <x:v>Terraform、Transit Gateway、経路設計</x:v>
      </x:c>
      <x:c r="L17" s="10" t="str">
        <x:v>公開未確認／実習体験を優先</x:v>
      </x:c>
      <x:c r="M17" s="10" t="str">
        <x:v>SEC309
SEC309-R1</x:v>
      </x:c>
      <x:c r="N17" s="12" t="e">
        <x:f>HYPERLINK("https://registration.awsevents.com/flow/awsevents/reinvent2026/eventcatalog/page/eventcatalog?search=SEC309","公式カタログ")</x:f>
        <x:v>HYPERLINK is not implemented. linkLocation=https://registration.awsevents.com/flow/awsevents/reinvent2026/eventcatalog/page/eventcatalog?search=SEC309, friendlyName=公式カタログ</x:v>
      </x:c>
    </x:row>
    <x:row r="18" ht="56" customHeight="1">
      <x:c r="A18" s="11" t="str">
        <x:v>未選択</x:v>
      </x:c>
      <x:c r="B18" s="10" t="str">
        <x:v>A 最優先</x:v>
      </x:c>
      <x:c r="C18" s="10" t="str">
        <x:v>アーキテクチャ</x:v>
      </x:c>
      <x:c r="D18" s="10" t="str">
        <x:v>ARC309</x:v>
      </x:c>
      <x:c r="E18" s="10" t="str">
        <x:v>Break it to prove It: Fault-isolated architecture built to recover</x:v>
      </x:c>
      <x:c r="F18" s="10" t="str">
        <x:v>Workshop</x:v>
      </x:c>
      <x:c r="G18" s="10" t="n">
        <x:v>300</x:v>
      </x:c>
      <x:c r="H18" s="10" t="str">
        <x:v>障害境界に沿った単一・複数リージョン設計を行い、ARCとFISで自動復旧を検証。</x:v>
      </x:c>
      <x:c r="I18" s="10" t="str">
        <x:v>図だけでなく障害注入と復旧で設計を確かめられる。</x:v>
      </x:c>
      <x:c r="J18" s="10" t="str">
        <x:v>中：説明理解・個別質問</x:v>
      </x:c>
      <x:c r="K18" s="10" t="str">
        <x:v>可用性設計、CloudWatch</x:v>
      </x:c>
      <x:c r="L18" s="10" t="str">
        <x:v>公開未確認／実習体験を優先</x:v>
      </x:c>
      <x:c r="M18" s="10" t="str">
        <x:v>ARC309</x:v>
      </x:c>
      <x:c r="N18" s="12" t="e">
        <x:f>HYPERLINK("https://registration.awsevents.com/flow/awsevents/reinvent2026/eventcatalog/page/eventcatalog?search=ARC309","公式カタログ")</x:f>
        <x:v>HYPERLINK is not implemented. linkLocation=https://registration.awsevents.com/flow/awsevents/reinvent2026/eventcatalog/page/eventcatalog?search=ARC309, friendlyName=公式カタログ</x:v>
      </x:c>
    </x:row>
    <x:row r="19" ht="56" customHeight="1">
      <x:c r="A19" s="11" t="str">
        <x:v>未選択</x:v>
      </x:c>
      <x:c r="B19" s="10" t="str">
        <x:v>A 最優先</x:v>
      </x:c>
      <x:c r="C19" s="10" t="str">
        <x:v>アーキテクチャ</x:v>
      </x:c>
      <x:c r="D19" s="10" t="str">
        <x:v>ARC308</x:v>
      </x:c>
      <x:c r="E19" s="10" t="str">
        <x:v>Queue-based decoupling trade-offs for event-driven workloads</x:v>
      </x:c>
      <x:c r="F19" s="10" t="str">
        <x:v>Builders' session</x:v>
      </x:c>
      <x:c r="G19" s="10" t="n">
        <x:v>300</x:v>
      </x:c>
      <x:c r="H19" s="10" t="str">
        <x:v>SQSとLambdaで順序、分離、バックプレッシャー、同時実行、バッチを比較。</x:v>
      </x:c>
      <x:c r="I19" s="10" t="str">
        <x:v>設計上のトレードオフを操作して理解できる。</x:v>
      </x:c>
      <x:c r="J19" s="10" t="str">
        <x:v>中：説明理解・個別質問</x:v>
      </x:c>
      <x:c r="K19" s="10" t="str">
        <x:v>SQS、Lambda、非同期処理</x:v>
      </x:c>
      <x:c r="L19" s="10" t="str">
        <x:v>公開未確認／実習体験を優先</x:v>
      </x:c>
      <x:c r="M19" s="10" t="str">
        <x:v>ARC308</x:v>
      </x:c>
      <x:c r="N19" s="12" t="e">
        <x:f>HYPERLINK("https://registration.awsevents.com/flow/awsevents/reinvent2026/eventcatalog/page/eventcatalog?search=ARC308","公式カタログ")</x:f>
        <x:v>HYPERLINK is not implemented. linkLocation=https://registration.awsevents.com/flow/awsevents/reinvent2026/eventcatalog/page/eventcatalog?search=ARC308, friendlyName=公式カタログ</x:v>
      </x:c>
    </x:row>
    <x:row r="20" ht="56" customHeight="1">
      <x:c r="A20" s="11" t="str">
        <x:v>未選択</x:v>
      </x:c>
      <x:c r="B20" s="10" t="str">
        <x:v>A 最優先</x:v>
      </x:c>
      <x:c r="C20" s="10" t="str">
        <x:v>データベース</x:v>
      </x:c>
      <x:c r="D20" s="10" t="str">
        <x:v>DAT430</x:v>
      </x:c>
      <x:c r="E20" s="10" t="str">
        <x:v>Build a multi-Region, active-active rewards app with Aurora DSQL</x:v>
      </x:c>
      <x:c r="F20" s="10" t="str">
        <x:v>Workshop</x:v>
      </x:c>
      <x:c r="G20" s="10" t="n">
        <x:v>400</x:v>
      </x:c>
      <x:c r="H20" s="10" t="str">
        <x:v>Aurora DSQLで2リージョンactive-activeのポイントアプリを作り、ACIDとデータモデルを学ぶ。</x:v>
      </x:c>
      <x:c r="I20" s="10" t="str">
        <x:v>DBと分散アーキテクチャへの関心に非常に合う。400レベル。</x:v>
      </x:c>
      <x:c r="J20" s="10" t="str">
        <x:v>中：説明理解・個別質問</x:v>
      </x:c>
      <x:c r="K20" s="10" t="str">
        <x:v>SQL、トランザクション、分散DB</x:v>
      </x:c>
      <x:c r="L20" s="10" t="str">
        <x:v>公開未確認／実習体験を優先</x:v>
      </x:c>
      <x:c r="M20" s="10" t="str">
        <x:v>DAT430</x:v>
      </x:c>
      <x:c r="N20" s="12" t="e">
        <x:f>HYPERLINK("https://registration.awsevents.com/flow/awsevents/reinvent2026/eventcatalog/page/eventcatalog?search=DAT430","公式カタログ")</x:f>
        <x:v>HYPERLINK is not implemented. linkLocation=https://registration.awsevents.com/flow/awsevents/reinvent2026/eventcatalog/page/eventcatalog?search=DAT430, friendlyName=公式カタログ</x:v>
      </x:c>
    </x:row>
    <x:row r="21" ht="56" customHeight="1">
      <x:c r="A21" s="11" t="str">
        <x:v>未選択</x:v>
      </x:c>
      <x:c r="B21" s="10" t="str">
        <x:v>A 最優先</x:v>
      </x:c>
      <x:c r="C21" s="10" t="str">
        <x:v>ストレージ</x:v>
      </x:c>
      <x:c r="D21" s="10" t="str">
        <x:v>STG333</x:v>
      </x:c>
      <x:c r="E21" s="10" t="str">
        <x:v>Accelerate database protection, recovery, and testing with Amazon EBS</x:v>
      </x:c>
      <x:c r="F21" s="10" t="str">
        <x:v>Builders' session</x:v>
      </x:c>
      <x:c r="G21" s="10" t="n">
        <x:v>300</x:v>
      </x:c>
      <x:c r="H21" s="10" t="str">
        <x:v>EBS Snapshot Lock、Recycle Bin、DLM、復元速度設定、Volume Clonesを操作。</x:v>
      </x:c>
      <x:c r="I21" s="10" t="str">
        <x:v>DB保護と復旧を短い実習で押さえられる。</x:v>
      </x:c>
      <x:c r="J21" s="10" t="str">
        <x:v>中：説明理解・個別質問</x:v>
      </x:c>
      <x:c r="K21" s="10" t="str">
        <x:v>EC2、EBS、スナップショット</x:v>
      </x:c>
      <x:c r="L21" s="10" t="str">
        <x:v>公開未確認／実習体験を優先</x:v>
      </x:c>
      <x:c r="M21" s="10" t="str">
        <x:v>STG333-R1
STG333-R</x:v>
      </x:c>
      <x:c r="N21" s="12" t="e">
        <x:f>HYPERLINK("https://registration.awsevents.com/flow/awsevents/reinvent2026/eventcatalog/page/eventcatalog?search=STG333","公式カタログ")</x:f>
        <x:v>HYPERLINK is not implemented. linkLocation=https://registration.awsevents.com/flow/awsevents/reinvent2026/eventcatalog/page/eventcatalog?search=STG333, friendlyName=公式カタログ</x:v>
      </x:c>
    </x:row>
    <x:row r="22" ht="56" customHeight="1">
      <x:c r="A22" s="11" t="str">
        <x:v>未選択</x:v>
      </x:c>
      <x:c r="B22" s="10" t="str">
        <x:v>A 最優先</x:v>
      </x:c>
      <x:c r="C22" s="10" t="str">
        <x:v>ストレージ</x:v>
      </x:c>
      <x:c r="D22" s="10" t="str">
        <x:v>STG336</x:v>
      </x:c>
      <x:c r="E22" s="10" t="str">
        <x:v>Amazon S3 security: Implementing access controls, policies &amp; audits</x:v>
      </x:c>
      <x:c r="F22" s="10" t="str">
        <x:v>Workshop</x:v>
      </x:c>
      <x:c r="G22" s="10" t="n">
        <x:v>300</x:v>
      </x:c>
      <x:c r="H22" s="10" t="str">
        <x:v>S3のアクセス制御、ユーザー・リソースポリシー、監視・監査を実装。</x:v>
      </x:c>
      <x:c r="I22" s="10" t="str">
        <x:v>ストレージとセキュリティを直接横断する優先候補。</x:v>
      </x:c>
      <x:c r="J22" s="10" t="str">
        <x:v>中：説明理解・個別質問</x:v>
      </x:c>
      <x:c r="K22" s="10" t="str">
        <x:v>S3、IAM、バケットポリシー</x:v>
      </x:c>
      <x:c r="L22" s="10" t="str">
        <x:v>公開未確認／実習体験を優先</x:v>
      </x:c>
      <x:c r="M22" s="10" t="str">
        <x:v>STG336-R
STG336-R1</x:v>
      </x:c>
      <x:c r="N22" s="12" t="e">
        <x:f>HYPERLINK("https://registration.awsevents.com/flow/awsevents/reinvent2026/eventcatalog/page/eventcatalog?search=STG336","公式カタログ")</x:f>
        <x:v>HYPERLINK is not implemented. linkLocation=https://registration.awsevents.com/flow/awsevents/reinvent2026/eventcatalog/page/eventcatalog?search=STG336, friendlyName=公式カタログ</x:v>
      </x:c>
    </x:row>
    <x:row r="23" ht="56" customHeight="1">
      <x:c r="A23" s="11" t="str">
        <x:v>未選択</x:v>
      </x:c>
      <x:c r="B23" s="10" t="str">
        <x:v>A 最優先</x:v>
      </x:c>
      <x:c r="C23" s="10" t="str">
        <x:v>ストレージ</x:v>
      </x:c>
      <x:c r="D23" s="10" t="str">
        <x:v>STG339</x:v>
      </x:c>
      <x:c r="E23" s="10" t="str">
        <x:v>Protect, recover, validate: Data resiliency for AWS storage</x:v>
      </x:c>
      <x:c r="F23" s="10" t="str">
        <x:v>Workshop</x:v>
      </x:c>
      <x:c r="G23" s="10" t="n">
        <x:v>300</x:v>
      </x:c>
      <x:c r="H23" s="10" t="str">
        <x:v>AWS BackupでS3/EFS/EBSを保護し、模擬攻撃後の復旧と整合性確認を実施。</x:v>
      </x:c>
      <x:c r="I23" s="10" t="str">
        <x:v>GameDay前後の基礎固めにも向く復旧実習。</x:v>
      </x:c>
      <x:c r="J23" s="10" t="str">
        <x:v>中：説明理解・個別質問</x:v>
      </x:c>
      <x:c r="K23" s="10" t="str">
        <x:v>AWS Backup、S3/EBS/EFS</x:v>
      </x:c>
      <x:c r="L23" s="10" t="str">
        <x:v>公開未確認／実習体験を優先</x:v>
      </x:c>
      <x:c r="M23" s="10" t="str">
        <x:v>STG339-R
STG339-R1</x:v>
      </x:c>
      <x:c r="N23" s="12" t="e">
        <x:f>HYPERLINK("https://registration.awsevents.com/flow/awsevents/reinvent2026/eventcatalog/page/eventcatalog?search=STG339","公式カタログ")</x:f>
        <x:v>HYPERLINK is not implemented. linkLocation=https://registration.awsevents.com/flow/awsevents/reinvent2026/eventcatalog/page/eventcatalog?search=STG339, friendlyName=公式カタログ</x:v>
      </x:c>
    </x:row>
    <x:row r="24" ht="56" customHeight="1">
      <x:c r="A24" s="11" t="str">
        <x:v>未選択</x:v>
      </x:c>
      <x:c r="B24" s="10" t="str">
        <x:v>A 最優先</x:v>
      </x:c>
      <x:c r="C24" s="10" t="str">
        <x:v>ストレージ</x:v>
      </x:c>
      <x:c r="D24" s="10" t="str">
        <x:v>STG412</x:v>
      </x:c>
      <x:c r="E24" s="10" t="str">
        <x:v>Find and fix storage bottlenecks for self-managed OLTP on EC2 with EBS</x:v>
      </x:c>
      <x:c r="F24" s="10" t="str">
        <x:v>Workshop</x:v>
      </x:c>
      <x:c r="G24" s="10" t="n">
        <x:v>400</x:v>
      </x:c>
      <x:c r="H24" s="10" t="str">
        <x:v>fio、PostgreSQL、pgbenchでI/Oを測り、EBSやEC2帯域の制約を特定して改善。</x:v>
      </x:c>
      <x:c r="I24" s="10" t="str">
        <x:v>DB性能とストレージの接点を深く学べる。400レベル。</x:v>
      </x:c>
      <x:c r="J24" s="10" t="str">
        <x:v>中：説明理解・個別質問</x:v>
      </x:c>
      <x:c r="K24" s="10" t="str">
        <x:v>Linux、PostgreSQL、IOPSと帯域</x:v>
      </x:c>
      <x:c r="L24" s="10" t="str">
        <x:v>公開未確認／実習体験を優先</x:v>
      </x:c>
      <x:c r="M24" s="10" t="str">
        <x:v>STG412</x:v>
      </x:c>
      <x:c r="N24" s="12" t="e">
        <x:f>HYPERLINK("https://registration.awsevents.com/flow/awsevents/reinvent2026/eventcatalog/page/eventcatalog?search=STG412","公式カタログ")</x:f>
        <x:v>HYPERLINK is not implemented. linkLocation=https://registration.awsevents.com/flow/awsevents/reinvent2026/eventcatalog/page/eventcatalog?search=STG412, friendlyName=公式カタログ</x:v>
      </x:c>
    </x:row>
    <x:row r="25" ht="56" customHeight="1">
      <x:c r="A25" s="11" t="str">
        <x:v>未選択</x:v>
      </x:c>
      <x:c r="B25" s="10" t="str">
        <x:v>A 最優先</x:v>
      </x:c>
      <x:c r="C25" s="10" t="str">
        <x:v>セキュリティ</x:v>
      </x:c>
      <x:c r="D25" s="10" t="str">
        <x:v>SEC323</x:v>
      </x:c>
      <x:c r="E25" s="10" t="str">
        <x:v>Assume Breach, Prove Recovery: A ransomware resilience workshop</x:v>
      </x:c>
      <x:c r="F25" s="10" t="str">
        <x:v>Workshop</x:v>
      </x:c>
      <x:c r="G25" s="10" t="n">
        <x:v>300</x:v>
      </x:c>
      <x:c r="H25" s="10" t="str">
        <x:v>不変バックアップを構成し、模擬ランサムウェア後に隔離環境へ復元してマルウェア検査。</x:v>
      </x:c>
      <x:c r="I25" s="10" t="str">
        <x:v>セキュリティとストレージに強く合う。STG339/410との重複を調整。</x:v>
      </x:c>
      <x:c r="J25" s="10" t="str">
        <x:v>中：説明理解・個別質問</x:v>
      </x:c>
      <x:c r="K25" s="10" t="str">
        <x:v>Backup、IAM、GuardDuty</x:v>
      </x:c>
      <x:c r="L25" s="10" t="str">
        <x:v>公開未確認／実習体験を優先</x:v>
      </x:c>
      <x:c r="M25" s="10" t="str">
        <x:v>SEC323-R
SEC323-R1</x:v>
      </x:c>
      <x:c r="N25" s="12" t="e">
        <x:f>HYPERLINK("https://registration.awsevents.com/flow/awsevents/reinvent2026/eventcatalog/page/eventcatalog?search=SEC323","公式カタログ")</x:f>
        <x:v>HYPERLINK is not implemented. linkLocation=https://registration.awsevents.com/flow/awsevents/reinvent2026/eventcatalog/page/eventcatalog?search=SEC323, friendlyName=公式カタログ</x:v>
      </x:c>
    </x:row>
    <x:row r="26" ht="56" customHeight="1">
      <x:c r="A26" s="11" t="str">
        <x:v>未選択</x:v>
      </x:c>
      <x:c r="B26" s="10" t="str">
        <x:v>A 最優先</x:v>
      </x:c>
      <x:c r="C26" s="10" t="str">
        <x:v>セキュリティ</x:v>
      </x:c>
      <x:c r="D26" s="10" t="str">
        <x:v>SEC319</x:v>
      </x:c>
      <x:c r="E26" s="10" t="str">
        <x:v>Preventing unintended access: a practical guide to data perimeter controls</x:v>
      </x:c>
      <x:c r="F26" s="10" t="str">
        <x:v>Builders' session</x:v>
      </x:c>
      <x:c r="G26" s="10" t="n">
        <x:v>300</x:v>
      </x:c>
      <x:c r="H26" s="10" t="str">
        <x:v>SCP、RCP、VPC endpoint policyでデータ境界を作り、評価ツールで検証。</x:v>
      </x:c>
      <x:c r="I26" s="10" t="str">
        <x:v>アーキテクチャ全体のアクセス制御に直結。</x:v>
      </x:c>
      <x:c r="J26" s="10" t="str">
        <x:v>中：説明理解・個別質問</x:v>
      </x:c>
      <x:c r="K26" s="10" t="str">
        <x:v>IAM、Organizations、VPC endpoint</x:v>
      </x:c>
      <x:c r="L26" s="10" t="str">
        <x:v>公開未確認／実習体験を優先</x:v>
      </x:c>
      <x:c r="M26" s="10" t="str">
        <x:v>SEC319-R
SEC319-R1</x:v>
      </x:c>
      <x:c r="N26" s="12" t="e">
        <x:f>HYPERLINK("https://registration.awsevents.com/flow/awsevents/reinvent2026/eventcatalog/page/eventcatalog?search=SEC319","公式カタログ")</x:f>
        <x:v>HYPERLINK is not implemented. linkLocation=https://registration.awsevents.com/flow/awsevents/reinvent2026/eventcatalog/page/eventcatalog?search=SEC319, friendlyName=公式カタログ</x:v>
      </x:c>
    </x:row>
    <x:row r="27" ht="56" customHeight="1">
      <x:c r="A27" s="11" t="str">
        <x:v>未選択</x:v>
      </x:c>
      <x:c r="B27" s="10" t="str">
        <x:v>B 有力</x:v>
      </x:c>
      <x:c r="C27" s="10" t="str">
        <x:v>GameDay</x:v>
      </x:c>
      <x:c r="D27" s="10" t="str">
        <x:v>GHJ305</x:v>
      </x:c>
      <x:c r="E27" s="10" t="str">
        <x:v>AWS GameDay - Application Security &amp; AI-Powered Penetration Testing</x:v>
      </x:c>
      <x:c r="F27" s="10" t="str">
        <x:v>Gamified learning</x:v>
      </x:c>
      <x:c r="G27" s="10" t="n">
        <x:v>300</x:v>
      </x:c>
      <x:c r="H27" s="10" t="str">
        <x:v>セキュリティエージェント、AI侵入テスト、OWASP Top 10の脆弱性修正。</x:v>
      </x:c>
      <x:c r="I27" s="10" t="str">
        <x:v>アプリケーションセキュリティに直接つながる実践。</x:v>
      </x:c>
      <x:c r="J27" s="10" t="str">
        <x:v>高：チーム調整・時間制約</x:v>
      </x:c>
      <x:c r="K27" s="10" t="str">
        <x:v>WebアプリとOWASPの基本</x:v>
      </x:c>
      <x:c r="L27" s="10" t="str">
        <x:v>公開未確認／実習体験を優先</x:v>
      </x:c>
      <x:c r="M27" s="10" t="str">
        <x:v>GHJ305</x:v>
      </x:c>
      <x:c r="N27" s="12" t="e">
        <x:f>HYPERLINK("https://registration.awsevents.com/flow/awsevents/reinvent2026/eventcatalog/page/eventcatalog?search=GHJ305","公式カタログ")</x:f>
        <x:v>HYPERLINK is not implemented. linkLocation=https://registration.awsevents.com/flow/awsevents/reinvent2026/eventcatalog/page/eventcatalog?search=GHJ305, friendlyName=公式カタログ</x:v>
      </x:c>
    </x:row>
    <x:row r="28" ht="56" customHeight="1">
      <x:c r="A28" s="11" t="str">
        <x:v>未選択</x:v>
      </x:c>
      <x:c r="B28" s="10" t="str">
        <x:v>B 有力</x:v>
      </x:c>
      <x:c r="C28" s="10" t="str">
        <x:v>GameDay</x:v>
      </x:c>
      <x:c r="D28" s="10" t="str">
        <x:v>GHJ307-S</x:v>
      </x:c>
      <x:c r="E28" s="10" t="str">
        <x:v>AWS GameDay - Cybersecurity &amp; Threat Detection ft. SentinelOne</x:v>
      </x:c>
      <x:c r="F28" s="10" t="str">
        <x:v>Gamified learning</x:v>
      </x:c>
      <x:c r="G28" s="10" t="n">
        <x:v>300</x:v>
      </x:c>
      <x:c r="H28" s="10" t="str">
        <x:v>脅威ハンティング、攻撃パターン分析、自動対応を実環境形式で実施。</x:v>
      </x:c>
      <x:c r="I28" s="10" t="str">
        <x:v>検知・対応を重視する場合。SentinelOne連携のスポンサー回。</x:v>
      </x:c>
      <x:c r="J28" s="10" t="str">
        <x:v>高：チーム調整・時間制約</x:v>
      </x:c>
      <x:c r="K28" s="10" t="str">
        <x:v>CloudTrail等のログと脅威検知</x:v>
      </x:c>
      <x:c r="L28" s="10" t="str">
        <x:v>公開未確認／実習体験を優先</x:v>
      </x:c>
      <x:c r="M28" s="10" t="str">
        <x:v>GHJ307-S</x:v>
      </x:c>
      <x:c r="N28" s="12" t="e">
        <x:f>HYPERLINK("https://registration.awsevents.com/flow/awsevents/reinvent2026/eventcatalog/page/eventcatalog?search=GHJ307-S","公式カタログ")</x:f>
        <x:v>HYPERLINK is not implemented. linkLocation=https://registration.awsevents.com/flow/awsevents/reinvent2026/eventcatalog/page/eventcatalog?search=GHJ307-S, friendlyName=公式カタログ</x:v>
      </x:c>
    </x:row>
    <x:row r="29" ht="56" customHeight="1">
      <x:c r="A29" s="11" t="str">
        <x:v>未選択</x:v>
      </x:c>
      <x:c r="B29" s="10" t="str">
        <x:v>B 有力</x:v>
      </x:c>
      <x:c r="C29" s="10" t="str">
        <x:v>GameDay</x:v>
      </x:c>
      <x:c r="D29" s="10" t="str">
        <x:v>GHJ304-S</x:v>
      </x:c>
      <x:c r="E29" s="10" t="str">
        <x:v>AWS GameDay - Platform Engineering &amp; Cloud-Native Architecture ft. Red Hat</x:v>
      </x:c>
      <x:c r="F29" s="10" t="str">
        <x:v>Gamified learning</x:v>
      </x:c>
      <x:c r="G29" s="10" t="n">
        <x:v>300</x:v>
      </x:c>
      <x:c r="H29" s="10" t="str">
        <x:v>内部開発プラットフォーム、コンテナ、サービスメッシュ、セルフサービス基盤を構築。</x:v>
      </x:c>
      <x:c r="I29" s="10" t="str">
        <x:v>基盤設計・IaC周辺への関心と合う。Red Hat連携。</x:v>
      </x:c>
      <x:c r="J29" s="10" t="str">
        <x:v>高：チーム調整・時間制約</x:v>
      </x:c>
      <x:c r="K29" s="10" t="str">
        <x:v>Kubernetesとコンテナの基本</x:v>
      </x:c>
      <x:c r="L29" s="10" t="str">
        <x:v>公開未確認／実習体験を優先</x:v>
      </x:c>
      <x:c r="M29" s="10" t="str">
        <x:v>GHJ304-S</x:v>
      </x:c>
      <x:c r="N29" s="12" t="e">
        <x:f>HYPERLINK("https://registration.awsevents.com/flow/awsevents/reinvent2026/eventcatalog/page/eventcatalog?search=GHJ304-S","公式カタログ")</x:f>
        <x:v>HYPERLINK is not implemented. linkLocation=https://registration.awsevents.com/flow/awsevents/reinvent2026/eventcatalog/page/eventcatalog?search=GHJ304-S, friendlyName=公式カタログ</x:v>
      </x:c>
    </x:row>
    <x:row r="30" ht="56" customHeight="1">
      <x:c r="A30" s="11" t="str">
        <x:v>未選択</x:v>
      </x:c>
      <x:c r="B30" s="10" t="str">
        <x:v>B 有力</x:v>
      </x:c>
      <x:c r="C30" s="10" t="str">
        <x:v>GameDay</x:v>
      </x:c>
      <x:c r="D30" s="10" t="str">
        <x:v>GHJ303-S</x:v>
      </x:c>
      <x:c r="E30" s="10" t="str">
        <x:v>AWS GameDay - Developer Productivity &amp; DevOps ft. Dynatrace</x:v>
      </x:c>
      <x:c r="F30" s="10" t="str">
        <x:v>Gamified learning</x:v>
      </x:c>
      <x:c r="G30" s="10" t="n">
        <x:v>300</x:v>
      </x:c>
      <x:c r="H30" s="10" t="str">
        <x:v>ビルド自動化、CI/CD、コード品質、性能改善を競技形式で実践。</x:v>
      </x:c>
      <x:c r="I30" s="10" t="str">
        <x:v>開発基盤の改善に興味が強い場合。Dynatrace連携。</x:v>
      </x:c>
      <x:c r="J30" s="10" t="str">
        <x:v>高：チーム調整・時間制約</x:v>
      </x:c>
      <x:c r="K30" s="10" t="str">
        <x:v>CI/CDとデプロイの基本</x:v>
      </x:c>
      <x:c r="L30" s="10" t="str">
        <x:v>公開未確認／実習体験を優先</x:v>
      </x:c>
      <x:c r="M30" s="10" t="str">
        <x:v>GHJ303-S</x:v>
      </x:c>
      <x:c r="N30" s="12" t="e">
        <x:f>HYPERLINK("https://registration.awsevents.com/flow/awsevents/reinvent2026/eventcatalog/page/eventcatalog?search=GHJ303-S","公式カタログ")</x:f>
        <x:v>HYPERLINK is not implemented. linkLocation=https://registration.awsevents.com/flow/awsevents/reinvent2026/eventcatalog/page/eventcatalog?search=GHJ303-S, friendlyName=公式カタログ</x:v>
      </x:c>
    </x:row>
    <x:row r="31" ht="56" customHeight="1">
      <x:c r="A31" s="11" t="str">
        <x:v>未選択</x:v>
      </x:c>
      <x:c r="B31" s="10" t="str">
        <x:v>B 有力</x:v>
      </x:c>
      <x:c r="C31" s="10" t="str">
        <x:v>GameDay</x:v>
      </x:c>
      <x:c r="D31" s="10" t="str">
        <x:v>GHJ306-S</x:v>
      </x:c>
      <x:c r="E31" s="10" t="str">
        <x:v>AWS GameDay - Service Reliability &amp; Agentic Remediation ft. Datadog</x:v>
      </x:c>
      <x:c r="F31" s="10" t="str">
        <x:v>Gamified learning</x:v>
      </x:c>
      <x:c r="G31" s="10" t="n">
        <x:v>300</x:v>
      </x:c>
      <x:c r="H31" s="10" t="str">
        <x:v>監視、障害対応、Runbook自動化、SLO管理でサービス信頼性を改善。</x:v>
      </x:c>
      <x:c r="I31" s="10" t="str">
        <x:v>運用とアーキテクチャを横断。Datadog連携。</x:v>
      </x:c>
      <x:c r="J31" s="10" t="str">
        <x:v>高：チーム調整・時間制約</x:v>
      </x:c>
      <x:c r="K31" s="10" t="str">
        <x:v>監視、SLO、障害切り分け</x:v>
      </x:c>
      <x:c r="L31" s="10" t="str">
        <x:v>公開未確認／実習体験を優先</x:v>
      </x:c>
      <x:c r="M31" s="10" t="str">
        <x:v>GHJ306-S</x:v>
      </x:c>
      <x:c r="N31" s="12" t="e">
        <x:f>HYPERLINK("https://registration.awsevents.com/flow/awsevents/reinvent2026/eventcatalog/page/eventcatalog?search=GHJ306-S","公式カタログ")</x:f>
        <x:v>HYPERLINK is not implemented. linkLocation=https://registration.awsevents.com/flow/awsevents/reinvent2026/eventcatalog/page/eventcatalog?search=GHJ306-S, friendlyName=公式カタログ</x:v>
      </x:c>
    </x:row>
    <x:row r="32" ht="56" customHeight="1">
      <x:c r="A32" s="11" t="str">
        <x:v>未選択</x:v>
      </x:c>
      <x:c r="B32" s="10" t="str">
        <x:v>B 有力</x:v>
      </x:c>
      <x:c r="C32" s="10" t="str">
        <x:v>Jam</x:v>
      </x:c>
      <x:c r="D32" s="10" t="str">
        <x:v>GHJ311</x:v>
      </x:c>
      <x:c r="E32" s="10" t="str">
        <x:v>AWS Jam: All-in Builder Showdown</x:v>
      </x:c>
      <x:c r="F32" s="10" t="str">
        <x:v>Gamified learning</x:v>
      </x:c>
      <x:c r="G32" s="10" t="n">
        <x:v>300</x:v>
      </x:c>
      <x:c r="H32" s="10" t="str">
        <x:v>AI、DevOps、セキュリティの複合課題。ヒントと専門家支援あり。</x:v>
      </x:c>
      <x:c r="I32" s="10" t="str">
        <x:v>分野を限定しない代替。説明には単独作業も記載されるが参加方式は当日確認。</x:v>
      </x:c>
      <x:c r="J32" s="10" t="str">
        <x:v>中〜高：ヒントと専門家支援</x:v>
      </x:c>
      <x:c r="K32" s="10" t="str">
        <x:v>AWS基本操作</x:v>
      </x:c>
      <x:c r="L32" s="10" t="str">
        <x:v>公開未確認／実習体験を優先</x:v>
      </x:c>
      <x:c r="M32" s="10" t="str">
        <x:v>GHJ311</x:v>
      </x:c>
      <x:c r="N32" s="12" t="e">
        <x:f>HYPERLINK("https://registration.awsevents.com/flow/awsevents/reinvent2026/eventcatalog/page/eventcatalog?search=GHJ311","公式カタログ")</x:f>
        <x:v>HYPERLINK is not implemented. linkLocation=https://registration.awsevents.com/flow/awsevents/reinvent2026/eventcatalog/page/eventcatalog?search=GHJ311, friendlyName=公式カタログ</x:v>
      </x:c>
    </x:row>
    <x:row r="33" ht="56" customHeight="1">
      <x:c r="A33" s="11" t="str">
        <x:v>未選択</x:v>
      </x:c>
      <x:c r="B33" s="10" t="str">
        <x:v>B 有力</x:v>
      </x:c>
      <x:c r="C33" s="10" t="str">
        <x:v>Jam</x:v>
      </x:c>
      <x:c r="D33" s="10" t="str">
        <x:v>GHJ313-S</x:v>
      </x:c>
      <x:c r="E33" s="10" t="str">
        <x:v>Security Jam - sponsored by Semgrep</x:v>
      </x:c>
      <x:c r="F33" s="10" t="str">
        <x:v>Gamified learning</x:v>
      </x:c>
      <x:c r="G33" s="10" t="n">
        <x:v>300</x:v>
      </x:c>
      <x:c r="H33" s="10" t="str">
        <x:v>インシデント対応とSemgrepの静的解析・コード脆弱性修正。</x:v>
      </x:c>
      <x:c r="I33" s="10" t="str">
        <x:v>開発セキュリティ向け。ガイドと専門家支援が明記。</x:v>
      </x:c>
      <x:c r="J33" s="10" t="str">
        <x:v>中〜高：ヒントと専門家支援</x:v>
      </x:c>
      <x:c r="K33" s="10" t="str">
        <x:v>コード読解、脆弱性の基本</x:v>
      </x:c>
      <x:c r="L33" s="10" t="str">
        <x:v>公開未確認／実習体験を優先</x:v>
      </x:c>
      <x:c r="M33" s="10" t="str">
        <x:v>GHJ313-S</x:v>
      </x:c>
      <x:c r="N33" s="12" t="e">
        <x:f>HYPERLINK("https://registration.awsevents.com/flow/awsevents/reinvent2026/eventcatalog/page/eventcatalog?search=GHJ313-S","公式カタログ")</x:f>
        <x:v>HYPERLINK is not implemented. linkLocation=https://registration.awsevents.com/flow/awsevents/reinvent2026/eventcatalog/page/eventcatalog?search=GHJ313-S, friendlyName=公式カタログ</x:v>
      </x:c>
    </x:row>
    <x:row r="34" ht="56" customHeight="1">
      <x:c r="A34" s="11" t="str">
        <x:v>未選択</x:v>
      </x:c>
      <x:c r="B34" s="10" t="str">
        <x:v>B 有力</x:v>
      </x:c>
      <x:c r="C34" s="10" t="str">
        <x:v>マルチクラウド</x:v>
      </x:c>
      <x:c r="D34" s="10" t="str">
        <x:v>COP324</x:v>
      </x:c>
      <x:c r="E34" s="10" t="str">
        <x:v>AI-Powered FinOps: Cloud Cost Optimization in Practice</x:v>
      </x:c>
      <x:c r="F34" s="10" t="str">
        <x:v>Workshop</x:v>
      </x:c>
      <x:c r="G34" s="10" t="n">
        <x:v>300</x:v>
      </x:c>
      <x:c r="H34" s="10" t="str">
        <x:v>コスト配賦、マルチクラウド報告、AIによる費用分析・最適化を実践。</x:v>
      </x:c>
      <x:c r="I34" s="10" t="str">
        <x:v>接続だけでなく複数クラウドの運用管理も学びたい場合。</x:v>
      </x:c>
      <x:c r="J34" s="10" t="str">
        <x:v>中：説明理解・個別質問</x:v>
      </x:c>
      <x:c r="K34" s="10" t="str">
        <x:v>コスト配賦、AWS料金の基本</x:v>
      </x:c>
      <x:c r="L34" s="10" t="str">
        <x:v>公開未確認／実習体験を優先</x:v>
      </x:c>
      <x:c r="M34" s="10" t="str">
        <x:v>COP324-R1
COP324-R</x:v>
      </x:c>
      <x:c r="N34" s="12" t="e">
        <x:f>HYPERLINK("https://registration.awsevents.com/flow/awsevents/reinvent2026/eventcatalog/page/eventcatalog?search=COP324","公式カタログ")</x:f>
        <x:v>HYPERLINK is not implemented. linkLocation=https://registration.awsevents.com/flow/awsevents/reinvent2026/eventcatalog/page/eventcatalog?search=COP324, friendlyName=公式カタログ</x:v>
      </x:c>
    </x:row>
    <x:row r="35" ht="56" customHeight="1">
      <x:c r="A35" s="11" t="str">
        <x:v>未選択</x:v>
      </x:c>
      <x:c r="B35" s="10" t="str">
        <x:v>B 有力</x:v>
      </x:c>
      <x:c r="C35" s="10" t="str">
        <x:v>IaC</x:v>
      </x:c>
      <x:c r="D35" s="10" t="str">
        <x:v>DVT311</x:v>
      </x:c>
      <x:c r="E35" s="10" t="str">
        <x:v>Deploy your applications with AWS Cloud Development Kit (AWS CDK)</x:v>
      </x:c>
      <x:c r="F35" s="10" t="str">
        <x:v>Workshop</x:v>
      </x:c>
      <x:c r="G35" s="10" t="n">
        <x:v>300</x:v>
      </x:c>
      <x:c r="H35" s="10" t="str">
        <x:v>CDKで構築し、Mixins、Refactor、アカウント間参照、Toolkit Libraryを利用。</x:v>
      </x:c>
      <x:c r="I35" s="10" t="str">
        <x:v>プログラミング言語でIaCを書きたい場合の主候補。</x:v>
      </x:c>
      <x:c r="J35" s="10" t="str">
        <x:v>中：説明理解・個別質問</x:v>
      </x:c>
      <x:c r="K35" s="10" t="str">
        <x:v>CDK対応言語とconstructの基本</x:v>
      </x:c>
      <x:c r="L35" s="10" t="str">
        <x:v>公開未確認／実習体験を優先</x:v>
      </x:c>
      <x:c r="M35" s="10" t="str">
        <x:v>DVT311</x:v>
      </x:c>
      <x:c r="N35" s="12" t="e">
        <x:f>HYPERLINK("https://registration.awsevents.com/flow/awsevents/reinvent2026/eventcatalog/page/eventcatalog?search=DVT311","公式カタログ")</x:f>
        <x:v>HYPERLINK is not implemented. linkLocation=https://registration.awsevents.com/flow/awsevents/reinvent2026/eventcatalog/page/eventcatalog?search=DVT311, friendlyName=公式カタログ</x:v>
      </x:c>
    </x:row>
    <x:row r="36" ht="56" customHeight="1">
      <x:c r="A36" s="11" t="str">
        <x:v>未選択</x:v>
      </x:c>
      <x:c r="B36" s="10" t="str">
        <x:v>B 有力</x:v>
      </x:c>
      <x:c r="C36" s="10" t="str">
        <x:v>IaC</x:v>
      </x:c>
      <x:c r="D36" s="10" t="str">
        <x:v>SEC361</x:v>
      </x:c>
      <x:c r="E36" s="10" t="str">
        <x:v>Closing the compliance loop when agents change your infrastructure</x:v>
      </x:c>
      <x:c r="F36" s="10" t="str">
        <x:v>Workshop</x:v>
      </x:c>
      <x:c r="G36" s="10" t="n">
        <x:v>300</x:v>
      </x:c>
      <x:c r="H36" s="10" t="str">
        <x:v>CloudFormation Hook、Guard、Config、SSMで予防・検知・自動修復を接続。</x:v>
      </x:c>
      <x:c r="I36" s="10" t="str">
        <x:v>IaC以外からの変更やドリフトを含む統制を実装できる。</x:v>
      </x:c>
      <x:c r="J36" s="10" t="str">
        <x:v>中：説明理解・個別質問</x:v>
      </x:c>
      <x:c r="K36" s="10" t="str">
        <x:v>CloudFormation、Config、SSM</x:v>
      </x:c>
      <x:c r="L36" s="10" t="str">
        <x:v>公開未確認／実習体験を優先</x:v>
      </x:c>
      <x:c r="M36" s="10" t="str">
        <x:v>SEC361</x:v>
      </x:c>
      <x:c r="N36" s="12" t="e">
        <x:f>HYPERLINK("https://registration.awsevents.com/flow/awsevents/reinvent2026/eventcatalog/page/eventcatalog?search=SEC361","公式カタログ")</x:f>
        <x:v>HYPERLINK is not implemented. linkLocation=https://registration.awsevents.com/flow/awsevents/reinvent2026/eventcatalog/page/eventcatalog?search=SEC361, friendlyName=公式カタログ</x:v>
      </x:c>
    </x:row>
    <x:row r="37" ht="56" customHeight="1">
      <x:c r="A37" s="11" t="str">
        <x:v>未選択</x:v>
      </x:c>
      <x:c r="B37" s="10" t="str">
        <x:v>B 有力</x:v>
      </x:c>
      <x:c r="C37" s="10" t="str">
        <x:v>IaC</x:v>
      </x:c>
      <x:c r="D37" s="10" t="str">
        <x:v>SEC348</x:v>
      </x:c>
      <x:c r="E37" s="10" t="str">
        <x:v>Policy to Proof: govern deployments at machine speed</x:v>
      </x:c>
      <x:c r="F37" s="10" t="str">
        <x:v>Builders' session</x:v>
      </x:c>
      <x:c r="G37" s="10" t="n">
        <x:v>300</x:v>
      </x:c>
      <x:c r="H37" s="10" t="str">
        <x:v>cfn-guard検証、CloudFormation展開、Config評価、監査証跡をCI/CDに組み込む。</x:v>
      </x:c>
      <x:c r="I37" s="10" t="str">
        <x:v>Policy as Codeをパイプラインに落とし込む実践。</x:v>
      </x:c>
      <x:c r="J37" s="10" t="str">
        <x:v>中：説明理解・個別質問</x:v>
      </x:c>
      <x:c r="K37" s="10" t="str">
        <x:v>CI/CD、IAM、CloudFormation</x:v>
      </x:c>
      <x:c r="L37" s="10" t="str">
        <x:v>公開未確認／実習体験を優先</x:v>
      </x:c>
      <x:c r="M37" s="10" t="str">
        <x:v>SEC348</x:v>
      </x:c>
      <x:c r="N37" s="12" t="e">
        <x:f>HYPERLINK("https://registration.awsevents.com/flow/awsevents/reinvent2026/eventcatalog/page/eventcatalog?search=SEC348","公式カタログ")</x:f>
        <x:v>HYPERLINK is not implemented. linkLocation=https://registration.awsevents.com/flow/awsevents/reinvent2026/eventcatalog/page/eventcatalog?search=SEC348, friendlyName=公式カタログ</x:v>
      </x:c>
    </x:row>
    <x:row r="38" ht="56" customHeight="1">
      <x:c r="A38" s="11" t="str">
        <x:v>未選択</x:v>
      </x:c>
      <x:c r="B38" s="10" t="str">
        <x:v>B 有力</x:v>
      </x:c>
      <x:c r="C38" s="10" t="str">
        <x:v>IaC</x:v>
      </x:c>
      <x:c r="D38" s="10" t="str">
        <x:v>COP312</x:v>
      </x:c>
      <x:c r="E38" s="10" t="str">
        <x:v>Embed FinOps into your CI/CD pipelines</x:v>
      </x:c>
      <x:c r="F38" s="10" t="str">
        <x:v>Builders' session</x:v>
      </x:c>
      <x:c r="G38" s="10" t="n">
        <x:v>300</x:v>
      </x:c>
      <x:c r="H38" s="10" t="str">
        <x:v>CodePipeline、Pricing Calculator、CloudFormation変更セットでデプロイ前の費用ゲートを構築。</x:v>
      </x:c>
      <x:c r="I38" s="10" t="str">
        <x:v>IaCの安全性に費用管理を加えられる。</x:v>
      </x:c>
      <x:c r="J38" s="10" t="str">
        <x:v>中：説明理解・個別質問</x:v>
      </x:c>
      <x:c r="K38" s="10" t="str">
        <x:v>CI/CD、CloudFormation</x:v>
      </x:c>
      <x:c r="L38" s="10" t="str">
        <x:v>公開未確認／実習体験を優先</x:v>
      </x:c>
      <x:c r="M38" s="10" t="str">
        <x:v>COP312-R
COP312-R1</x:v>
      </x:c>
      <x:c r="N38" s="12" t="e">
        <x:f>HYPERLINK("https://registration.awsevents.com/flow/awsevents/reinvent2026/eventcatalog/page/eventcatalog?search=COP312","公式カタログ")</x:f>
        <x:v>HYPERLINK is not implemented. linkLocation=https://registration.awsevents.com/flow/awsevents/reinvent2026/eventcatalog/page/eventcatalog?search=COP312, friendlyName=公式カタログ</x:v>
      </x:c>
    </x:row>
    <x:row r="39" ht="56" customHeight="1">
      <x:c r="A39" s="11" t="str">
        <x:v>未選択</x:v>
      </x:c>
      <x:c r="B39" s="10" t="str">
        <x:v>B 有力</x:v>
      </x:c>
      <x:c r="C39" s="10" t="str">
        <x:v>アーキテクチャ</x:v>
      </x:c>
      <x:c r="D39" s="10" t="str">
        <x:v>NET203</x:v>
      </x:c>
      <x:c r="E39" s="10" t="str">
        <x:v>Resolve it all: Build hybrid DNS architectures on AWS</x:v>
      </x:c>
      <x:c r="F39" s="10" t="str">
        <x:v>Workshop</x:v>
      </x:c>
      <x:c r="G39" s="10" t="n">
        <x:v>200</x:v>
      </x:c>
      <x:c r="H39" s="10" t="str">
        <x:v>Route 53 Profiles、Resolver Delegation、DNS Firewall等でハイブリッドDNSを構築。</x:v>
      </x:c>
      <x:c r="I39" s="10" t="str">
        <x:v>マルチクラウド接続を支えるDNS設計の関連候補。主題はAWSとオンプレ。</x:v>
      </x:c>
      <x:c r="J39" s="10" t="str">
        <x:v>中：説明理解・個別質問</x:v>
      </x:c>
      <x:c r="K39" s="10" t="str">
        <x:v>DNS、VPC、名前解決</x:v>
      </x:c>
      <x:c r="L39" s="10" t="str">
        <x:v>公開未確認／実習体験を優先</x:v>
      </x:c>
      <x:c r="M39" s="10" t="str">
        <x:v>NET203-R1
NET203-R</x:v>
      </x:c>
      <x:c r="N39" s="12" t="e">
        <x:f>HYPERLINK("https://registration.awsevents.com/flow/awsevents/reinvent2026/eventcatalog/page/eventcatalog?search=NET203","公式カタログ")</x:f>
        <x:v>HYPERLINK is not implemented. linkLocation=https://registration.awsevents.com/flow/awsevents/reinvent2026/eventcatalog/page/eventcatalog?search=NET203, friendlyName=公式カタログ</x:v>
      </x:c>
    </x:row>
    <x:row r="40" ht="56" customHeight="1">
      <x:c r="A40" s="11" t="str">
        <x:v>未選択</x:v>
      </x:c>
      <x:c r="B40" s="10" t="str">
        <x:v>B 有力</x:v>
      </x:c>
      <x:c r="C40" s="10" t="str">
        <x:v>アーキテクチャ</x:v>
      </x:c>
      <x:c r="D40" s="10" t="str">
        <x:v>NET202</x:v>
      </x:c>
      <x:c r="E40" s="10" t="str">
        <x:v>Your network, your rules: Global routing policies with AWS Cloud WAN</x:v>
      </x:c>
      <x:c r="F40" s="10" t="str">
        <x:v>Workshop</x:v>
      </x:c>
      <x:c r="G40" s="10" t="n">
        <x:v>200</x:v>
      </x:c>
      <x:c r="H40" s="10" t="str">
        <x:v>Cloud WANで経路フィルタ、集約、BGP属性を設定し、複数リージョンの通信を制御。</x:v>
      </x:c>
      <x:c r="I40" s="10" t="str">
        <x:v>200レベルのネットワーク実習として組み込みやすい。</x:v>
      </x:c>
      <x:c r="J40" s="10" t="str">
        <x:v>中：説明理解・個別質問</x:v>
      </x:c>
      <x:c r="K40" s="10" t="str">
        <x:v>IPルーティング、BGPの基本</x:v>
      </x:c>
      <x:c r="L40" s="10" t="str">
        <x:v>公開未確認／実習体験を優先</x:v>
      </x:c>
      <x:c r="M40" s="10" t="str">
        <x:v>NET202-R1
NET202-R</x:v>
      </x:c>
      <x:c r="N40" s="12" t="e">
        <x:f>HYPERLINK("https://registration.awsevents.com/flow/awsevents/reinvent2026/eventcatalog/page/eventcatalog?search=NET202","公式カタログ")</x:f>
        <x:v>HYPERLINK is not implemented. linkLocation=https://registration.awsevents.com/flow/awsevents/reinvent2026/eventcatalog/page/eventcatalog?search=NET202, friendlyName=公式カタログ</x:v>
      </x:c>
    </x:row>
    <x:row r="41" ht="56" customHeight="1">
      <x:c r="A41" s="11" t="str">
        <x:v>未選択</x:v>
      </x:c>
      <x:c r="B41" s="10" t="str">
        <x:v>B 有力</x:v>
      </x:c>
      <x:c r="C41" s="10" t="str">
        <x:v>アーキテクチャ</x:v>
      </x:c>
      <x:c r="D41" s="10" t="str">
        <x:v>NET204</x:v>
      </x:c>
      <x:c r="E41" s="10" t="str">
        <x:v>Centralize AWS PrivateLink endpoints at scale with Amazon VPC Lattice</x:v>
      </x:c>
      <x:c r="F41" s="10" t="str">
        <x:v>Builders' session</x:v>
      </x:c>
      <x:c r="G41" s="10" t="n">
        <x:v>200</x:v>
      </x:c>
      <x:c r="H41" s="10" t="str">
        <x:v>共有VPCのPrivateLink endpointをLattice経由で集中提供し、アクセス制御を設定。</x:v>
      </x:c>
      <x:c r="I41" s="10" t="str">
        <x:v>複数アカウント構成のコストと統制に役立つ。マルチクラウドとは区別。</x:v>
      </x:c>
      <x:c r="J41" s="10" t="str">
        <x:v>中：説明理解・個別質問</x:v>
      </x:c>
      <x:c r="K41" s="10" t="str">
        <x:v>PrivateLink、VPC、IAM</x:v>
      </x:c>
      <x:c r="L41" s="10" t="str">
        <x:v>公開未確認／実習体験を優先</x:v>
      </x:c>
      <x:c r="M41" s="10" t="str">
        <x:v>NET204-R
NET204-R1</x:v>
      </x:c>
      <x:c r="N41" s="12" t="e">
        <x:f>HYPERLINK("https://registration.awsevents.com/flow/awsevents/reinvent2026/eventcatalog/page/eventcatalog?search=NET204","公式カタログ")</x:f>
        <x:v>HYPERLINK is not implemented. linkLocation=https://registration.awsevents.com/flow/awsevents/reinvent2026/eventcatalog/page/eventcatalog?search=NET204, friendlyName=公式カタログ</x:v>
      </x:c>
    </x:row>
    <x:row r="42" ht="56" customHeight="1">
      <x:c r="A42" s="11" t="str">
        <x:v>未選択</x:v>
      </x:c>
      <x:c r="B42" s="10" t="str">
        <x:v>B 有力</x:v>
      </x:c>
      <x:c r="C42" s="10" t="str">
        <x:v>データベース</x:v>
      </x:c>
      <x:c r="D42" s="10" t="str">
        <x:v>DAT415</x:v>
      </x:c>
      <x:c r="E42" s="10" t="str">
        <x:v>Financial data modeling with Amazon DynamoDB</x:v>
      </x:c>
      <x:c r="F42" s="10" t="str">
        <x:v>Builders' session</x:v>
      </x:c>
      <x:c r="G42" s="10" t="n">
        <x:v>400</x:v>
      </x:c>
      <x:c r="H42" s="10" t="str">
        <x:v>DynamoDBで勘定・仕訳・台帳をモデル化し、複数リージョン複製の設計を学ぶ。</x:v>
      </x:c>
      <x:c r="I42" s="10" t="str">
        <x:v>整合性とスケーラビリティを扱うデータ設計の候補。</x:v>
      </x:c>
      <x:c r="J42" s="10" t="str">
        <x:v>中：説明理解・個別質問</x:v>
      </x:c>
      <x:c r="K42" s="10" t="str">
        <x:v>DynamoDB、アクセスパターン</x:v>
      </x:c>
      <x:c r="L42" s="10" t="str">
        <x:v>公開未確認／実習体験を優先</x:v>
      </x:c>
      <x:c r="M42" s="10" t="str">
        <x:v>DAT415-R1
DAT415-R</x:v>
      </x:c>
      <x:c r="N42" s="12" t="e">
        <x:f>HYPERLINK("https://registration.awsevents.com/flow/awsevents/reinvent2026/eventcatalog/page/eventcatalog?search=DAT415","公式カタログ")</x:f>
        <x:v>HYPERLINK is not implemented. linkLocation=https://registration.awsevents.com/flow/awsevents/reinvent2026/eventcatalog/page/eventcatalog?search=DAT415, friendlyName=公式カタログ</x:v>
      </x:c>
    </x:row>
    <x:row r="43" ht="56" customHeight="1">
      <x:c r="A43" s="11" t="str">
        <x:v>未選択</x:v>
      </x:c>
      <x:c r="B43" s="10" t="str">
        <x:v>B 有力</x:v>
      </x:c>
      <x:c r="C43" s="10" t="str">
        <x:v>データベース</x:v>
      </x:c>
      <x:c r="D43" s="10" t="str">
        <x:v>DAT431</x:v>
      </x:c>
      <x:c r="E43" s="10" t="str">
        <x:v>AI-assisted data modeling for Amazon DynamoDB</x:v>
      </x:c>
      <x:c r="F43" s="10" t="str">
        <x:v>Builders' session</x:v>
      </x:c>
      <x:c r="G43" s="10" t="n">
        <x:v>400</x:v>
      </x:c>
      <x:c r="H43" s="10" t="str">
        <x:v>AI IDEでDynamoDBのアクセスパターンと索引を設計し、アプリまで実装。</x:v>
      </x:c>
      <x:c r="I43" s="10" t="str">
        <x:v>NoSQLデータモデルを実装して学びたい場合。</x:v>
      </x:c>
      <x:c r="J43" s="10" t="str">
        <x:v>中：説明理解・個別質問</x:v>
      </x:c>
      <x:c r="K43" s="10" t="str">
        <x:v>DynamoDB、GSI、コード読解</x:v>
      </x:c>
      <x:c r="L43" s="10" t="str">
        <x:v>公開未確認／実習体験を優先</x:v>
      </x:c>
      <x:c r="M43" s="10" t="str">
        <x:v>DAT431-R
DAT431-R1
DAT431-R2</x:v>
      </x:c>
      <x:c r="N43" s="12" t="e">
        <x:f>HYPERLINK("https://registration.awsevents.com/flow/awsevents/reinvent2026/eventcatalog/page/eventcatalog?search=DAT431","公式カタログ")</x:f>
        <x:v>HYPERLINK is not implemented. linkLocation=https://registration.awsevents.com/flow/awsevents/reinvent2026/eventcatalog/page/eventcatalog?search=DAT431, friendlyName=公式カタログ</x:v>
      </x:c>
    </x:row>
    <x:row r="44" ht="56" customHeight="1">
      <x:c r="A44" s="11" t="str">
        <x:v>未選択</x:v>
      </x:c>
      <x:c r="B44" s="10" t="str">
        <x:v>B 有力</x:v>
      </x:c>
      <x:c r="C44" s="10" t="str">
        <x:v>データベース</x:v>
      </x:c>
      <x:c r="D44" s="10" t="str">
        <x:v>DAT428</x:v>
      </x:c>
      <x:c r="E44" s="10" t="str">
        <x:v>Build governed remediation workflows for Aurora database operations</x:v>
      </x:c>
      <x:c r="F44" s="10" t="str">
        <x:v>Builders' session</x:v>
      </x:c>
      <x:c r="G44" s="10" t="n">
        <x:v>400</x:v>
      </x:c>
      <x:c r="H44" s="10" t="str">
        <x:v>Auroraの改善提案にリスク分類、承認、権限制限、監査、ロールバックを組み込む。</x:v>
      </x:c>
      <x:c r="I44" s="10" t="str">
        <x:v>DB運用とセキュリティ統制を横断。</x:v>
      </x:c>
      <x:c r="J44" s="10" t="str">
        <x:v>中：説明理解・個別質問</x:v>
      </x:c>
      <x:c r="K44" s="10" t="str">
        <x:v>Aurora PostgreSQL、IAM、変更管理</x:v>
      </x:c>
      <x:c r="L44" s="10" t="str">
        <x:v>公開未確認／実習体験を優先</x:v>
      </x:c>
      <x:c r="M44" s="10" t="str">
        <x:v>DAT428</x:v>
      </x:c>
      <x:c r="N44" s="12" t="e">
        <x:f>HYPERLINK("https://registration.awsevents.com/flow/awsevents/reinvent2026/eventcatalog/page/eventcatalog?search=DAT428","公式カタログ")</x:f>
        <x:v>HYPERLINK is not implemented. linkLocation=https://registration.awsevents.com/flow/awsevents/reinvent2026/eventcatalog/page/eventcatalog?search=DAT428, friendlyName=公式カタログ</x:v>
      </x:c>
    </x:row>
    <x:row r="45" ht="56" customHeight="1">
      <x:c r="A45" s="11" t="str">
        <x:v>未選択</x:v>
      </x:c>
      <x:c r="B45" s="10" t="str">
        <x:v>B 有力</x:v>
      </x:c>
      <x:c r="C45" s="10" t="str">
        <x:v>データベース</x:v>
      </x:c>
      <x:c r="D45" s="10" t="str">
        <x:v>COP322</x:v>
      </x:c>
      <x:c r="E45" s="10" t="str">
        <x:v>Where's the slowdown? Build observability from frontend to databases</x:v>
      </x:c>
      <x:c r="F45" s="10" t="str">
        <x:v>Workshop</x:v>
      </x:c>
      <x:c r="G45" s="10" t="n">
        <x:v>300</x:v>
      </x:c>
      <x:c r="H45" s="10" t="str">
        <x:v>アプリ・基盤・RDS/Auroraの監視とログを統合し、遅延の根本原因を追跡。</x:v>
      </x:c>
      <x:c r="I45" s="10" t="str">
        <x:v>DB単体に閉じない性能調査を実践できる。</x:v>
      </x:c>
      <x:c r="J45" s="10" t="str">
        <x:v>中：説明理解・個別質問</x:v>
      </x:c>
      <x:c r="K45" s="10" t="str">
        <x:v>CloudWatch、トレース、DBログ</x:v>
      </x:c>
      <x:c r="L45" s="10" t="str">
        <x:v>公開未確認／実習体験を優先</x:v>
      </x:c>
      <x:c r="M45" s="10" t="str">
        <x:v>COP322-R1
COP322-R</x:v>
      </x:c>
      <x:c r="N45" s="12" t="e">
        <x:f>HYPERLINK("https://registration.awsevents.com/flow/awsevents/reinvent2026/eventcatalog/page/eventcatalog?search=COP322","公式カタログ")</x:f>
        <x:v>HYPERLINK is not implemented. linkLocation=https://registration.awsevents.com/flow/awsevents/reinvent2026/eventcatalog/page/eventcatalog?search=COP322, friendlyName=公式カタログ</x:v>
      </x:c>
    </x:row>
    <x:row r="46" ht="56" customHeight="1">
      <x:c r="A46" s="11" t="str">
        <x:v>未選択</x:v>
      </x:c>
      <x:c r="B46" s="10" t="str">
        <x:v>B 有力</x:v>
      </x:c>
      <x:c r="C46" s="10" t="str">
        <x:v>ストレージ</x:v>
      </x:c>
      <x:c r="D46" s="10" t="str">
        <x:v>STG410</x:v>
      </x:c>
      <x:c r="E46" s="10" t="str">
        <x:v>Build ransomware recovery with AWS Backup air-gapped vaults</x:v>
      </x:c>
      <x:c r="F46" s="10" t="str">
        <x:v>Workshop</x:v>
      </x:c>
      <x:c r="G46" s="10" t="n">
        <x:v>400</x:v>
      </x:c>
      <x:c r="H46" s="10" t="str">
        <x:v>論理air-gapped vault、restore testing、Backup Audit Managerで侵害後の復旧を検証。</x:v>
      </x:c>
      <x:c r="I46" s="10" t="str">
        <x:v>バックアップ隔離と復旧の上級実習。STG339との重複に注意。</x:v>
      </x:c>
      <x:c r="J46" s="10" t="str">
        <x:v>中：説明理解・個別質問</x:v>
      </x:c>
      <x:c r="K46" s="10" t="str">
        <x:v>Backup、IAM、クロスアカウント</x:v>
      </x:c>
      <x:c r="L46" s="10" t="str">
        <x:v>公開未確認／実習体験を優先</x:v>
      </x:c>
      <x:c r="M46" s="10" t="str">
        <x:v>STG410-R1
STG410-R</x:v>
      </x:c>
      <x:c r="N46" s="12" t="e">
        <x:f>HYPERLINK("https://registration.awsevents.com/flow/awsevents/reinvent2026/eventcatalog/page/eventcatalog?search=STG410","公式カタログ")</x:f>
        <x:v>HYPERLINK is not implemented. linkLocation=https://registration.awsevents.com/flow/awsevents/reinvent2026/eventcatalog/page/eventcatalog?search=STG410, friendlyName=公式カタログ</x:v>
      </x:c>
    </x:row>
    <x:row r="47" ht="56" customHeight="1">
      <x:c r="A47" s="11" t="str">
        <x:v>未選択</x:v>
      </x:c>
      <x:c r="B47" s="10" t="str">
        <x:v>B 有力</x:v>
      </x:c>
      <x:c r="C47" s="10" t="str">
        <x:v>ストレージ</x:v>
      </x:c>
      <x:c r="D47" s="10" t="str">
        <x:v>STG408</x:v>
      </x:c>
      <x:c r="E47" s="10" t="str">
        <x:v>Deploying mission-critical applications with Amazon EBS</x:v>
      </x:c>
      <x:c r="F47" s="10" t="str">
        <x:v>Workshop</x:v>
      </x:c>
      <x:c r="G47" s="10" t="n">
        <x:v>400</x:v>
      </x:c>
      <x:c r="H47" s="10" t="str">
        <x:v>EC2/EBSの種類と構成を選び、監視・最適化・障害注入で性能と復元力を検証。</x:v>
      </x:c>
      <x:c r="I47" s="10" t="str">
        <x:v>性能設計を幅広く学ぶ候補。STG412とは関心で選ぶ。</x:v>
      </x:c>
      <x:c r="J47" s="10" t="str">
        <x:v>中：説明理解・個別質問</x:v>
      </x:c>
      <x:c r="K47" s="10" t="str">
        <x:v>EC2、EBS、CloudWatch</x:v>
      </x:c>
      <x:c r="L47" s="10" t="str">
        <x:v>公開未確認／実習体験を優先</x:v>
      </x:c>
      <x:c r="M47" s="10" t="str">
        <x:v>STG408</x:v>
      </x:c>
      <x:c r="N47" s="12" t="e">
        <x:f>HYPERLINK("https://registration.awsevents.com/flow/awsevents/reinvent2026/eventcatalog/page/eventcatalog?search=STG408","公式カタログ")</x:f>
        <x:v>HYPERLINK is not implemented. linkLocation=https://registration.awsevents.com/flow/awsevents/reinvent2026/eventcatalog/page/eventcatalog?search=STG408, friendlyName=公式カタログ</x:v>
      </x:c>
    </x:row>
    <x:row r="48" ht="56" customHeight="1">
      <x:c r="A48" s="11" t="str">
        <x:v>未選択</x:v>
      </x:c>
      <x:c r="B48" s="10" t="str">
        <x:v>B 有力</x:v>
      </x:c>
      <x:c r="C48" s="10" t="str">
        <x:v>ストレージ</x:v>
      </x:c>
      <x:c r="D48" s="10" t="str">
        <x:v>STG331</x:v>
      </x:c>
      <x:c r="E48" s="10" t="str">
        <x:v>Build a fully managed data lake with Amazon S3 Tables</x:v>
      </x:c>
      <x:c r="F48" s="10" t="str">
        <x:v>Workshop</x:v>
      </x:c>
      <x:c r="G48" s="10" t="n">
        <x:v>300</x:v>
      </x:c>
      <x:c r="H48" s="10" t="str">
        <x:v>S3 Tablesのtable bucketを作り、取り込み・移行・Athena/DuckDB照会を実践。</x:v>
      </x:c>
      <x:c r="I48" s="10" t="str">
        <x:v>オープンなデータ基盤への入口。ANT418の事前学習にも合う。</x:v>
      </x:c>
      <x:c r="J48" s="10" t="str">
        <x:v>中：説明理解・個別質問</x:v>
      </x:c>
      <x:c r="K48" s="10" t="str">
        <x:v>SQL、S3、Icebergの基本</x:v>
      </x:c>
      <x:c r="L48" s="10" t="str">
        <x:v>公開未確認／実習体験を優先</x:v>
      </x:c>
      <x:c r="M48" s="10" t="str">
        <x:v>STG331-R1
STG331-R</x:v>
      </x:c>
      <x:c r="N48" s="12" t="e">
        <x:f>HYPERLINK("https://registration.awsevents.com/flow/awsevents/reinvent2026/eventcatalog/page/eventcatalog?search=STG331","公式カタログ")</x:f>
        <x:v>HYPERLINK is not implemented. linkLocation=https://registration.awsevents.com/flow/awsevents/reinvent2026/eventcatalog/page/eventcatalog?search=STG331, friendlyName=公式カタログ</x:v>
      </x:c>
    </x:row>
    <x:row r="49" ht="56" customHeight="1">
      <x:c r="A49" s="11" t="str">
        <x:v>未選択</x:v>
      </x:c>
      <x:c r="B49" s="10" t="str">
        <x:v>B 有力</x:v>
      </x:c>
      <x:c r="C49" s="10" t="str">
        <x:v>セキュリティ</x:v>
      </x:c>
      <x:c r="D49" s="10" t="str">
        <x:v>SEC315</x:v>
      </x:c>
      <x:c r="E49" s="10" t="str">
        <x:v>Advanced AWS Network Security: Defending Against Emerging Threats</x:v>
      </x:c>
      <x:c r="F49" s="10" t="str">
        <x:v>Workshop</x:v>
      </x:c>
      <x:c r="G49" s="10" t="n">
        <x:v>300</x:v>
      </x:c>
      <x:c r="H49" s="10" t="str">
        <x:v>Network FirewallとDNS FirewallでURL分類、IDS/IPS、east-west通信、domainルールを設定。</x:v>
      </x:c>
      <x:c r="I49" s="10" t="str">
        <x:v>ネットワークセキュリティを広く学びたい場合。詳細は公式説明を参照。</x:v>
      </x:c>
      <x:c r="J49" s="10" t="str">
        <x:v>中：説明理解・個別質問</x:v>
      </x:c>
      <x:c r="K49" s="10" t="str">
        <x:v>VPC、経路、Network Firewall</x:v>
      </x:c>
      <x:c r="L49" s="10" t="str">
        <x:v>公開未確認／実習体験を優先</x:v>
      </x:c>
      <x:c r="M49" s="10" t="str">
        <x:v>SEC315-R
SEC315-R1</x:v>
      </x:c>
      <x:c r="N49" s="12" t="e">
        <x:f>HYPERLINK("https://registration.awsevents.com/flow/awsevents/reinvent2026/eventcatalog/page/eventcatalog?search=SEC315","公式カタログ")</x:f>
        <x:v>HYPERLINK is not implemented. linkLocation=https://registration.awsevents.com/flow/awsevents/reinvent2026/eventcatalog/page/eventcatalog?search=SEC315, friendlyName=公式カタログ</x:v>
      </x:c>
    </x:row>
    <x:row r="50" ht="56" customHeight="1">
      <x:c r="A50" s="11" t="str">
        <x:v>未選択</x:v>
      </x:c>
      <x:c r="B50" s="10" t="str">
        <x:v>B 有力</x:v>
      </x:c>
      <x:c r="C50" s="10" t="str">
        <x:v>セキュリティ</x:v>
      </x:c>
      <x:c r="D50" s="10" t="str">
        <x:v>SEC313</x:v>
      </x:c>
      <x:c r="E50" s="10" t="str">
        <x:v>Hands-on with the AWS Network Firewall proxy for secure egress</x:v>
      </x:c>
      <x:c r="F50" s="10" t="str">
        <x:v>Builders' session</x:v>
      </x:c>
      <x:c r="G50" s="10" t="n">
        <x:v>300</x:v>
      </x:c>
      <x:c r="H50" s="10" t="str">
        <x:v>Network Firewallのforward proxyを配置し、複数VPCの外向き通信制御とTLS検査を実装。</x:v>
      </x:c>
      <x:c r="I50" s="10" t="str">
        <x:v>出口制御を実装したい場合の候補。</x:v>
      </x:c>
      <x:c r="J50" s="10" t="str">
        <x:v>中：説明理解・個別質問</x:v>
      </x:c>
      <x:c r="K50" s="10" t="str">
        <x:v>VPC、HTTP proxy、通信制御</x:v>
      </x:c>
      <x:c r="L50" s="10" t="str">
        <x:v>公開未確認／実習体験を優先</x:v>
      </x:c>
      <x:c r="M50" s="10" t="str">
        <x:v>SEC313</x:v>
      </x:c>
      <x:c r="N50" s="12" t="e">
        <x:f>HYPERLINK("https://registration.awsevents.com/flow/awsevents/reinvent2026/eventcatalog/page/eventcatalog?search=SEC313","公式カタログ")</x:f>
        <x:v>HYPERLINK is not implemented. linkLocation=https://registration.awsevents.com/flow/awsevents/reinvent2026/eventcatalog/page/eventcatalog?search=SEC313, friendlyName=公式カタログ</x:v>
      </x:c>
    </x:row>
    <x:row r="51" ht="56" customHeight="1">
      <x:c r="A51" s="11" t="str">
        <x:v>未選択</x:v>
      </x:c>
      <x:c r="B51" s="10" t="str">
        <x:v>B 有力</x:v>
      </x:c>
      <x:c r="C51" s="10" t="str">
        <x:v>Lab</x:v>
      </x:c>
      <x:c r="D51" s="10" t="str">
        <x:v>TNC208</x:v>
      </x:c>
      <x:c r="E51" s="10" t="str">
        <x:v>Automate Penetration Tests with AWS Security Agent</x:v>
      </x:c>
      <x:c r="F51" s="10" t="str">
        <x:v>Lab</x:v>
      </x:c>
      <x:c r="G51" s="10" t="n">
        <x:v>200</x:v>
      </x:c>
      <x:c r="H51" s="10" t="str">
        <x:v>AWS Security Agentで侵入テストの範囲、VPC、対象domainを設定し結果と再現手順を分析。</x:v>
      </x:c>
      <x:c r="I51" s="10" t="str">
        <x:v>200レベルの補助実習。GameDay前のセキュリティ操作の準備にも。</x:v>
      </x:c>
      <x:c r="J51" s="10" t="str">
        <x:v>低〜中：説明理解・個別質問</x:v>
      </x:c>
      <x:c r="K51" s="10" t="str">
        <x:v>VPCとWebアプリの基本</x:v>
      </x:c>
      <x:c r="L51" s="10" t="str">
        <x:v>公開未確認／実習体験を優先</x:v>
      </x:c>
      <x:c r="M51" s="10" t="str">
        <x:v>TNC208</x:v>
      </x:c>
      <x:c r="N51" s="12" t="e">
        <x:f>HYPERLINK("https://registration.awsevents.com/flow/awsevents/reinvent2026/eventcatalog/page/eventcatalog?search=TNC208","公式カタログ")</x:f>
        <x:v>HYPERLINK is not implemented. linkLocation=https://registration.awsevents.com/flow/awsevents/reinvent2026/eventcatalog/page/eventcatalog?search=TNC208, friendlyName=公式カタログ</x:v>
      </x:c>
    </x:row>
    <x:row r="52" ht="56" customHeight="1">
      <x:c r="A52" s="11" t="str">
        <x:v>未選択</x:v>
      </x:c>
      <x:c r="B52" s="10" t="str">
        <x:v>B 有力</x:v>
      </x:c>
      <x:c r="C52" s="10" t="str">
        <x:v>Lab</x:v>
      </x:c>
      <x:c r="D52" s="10" t="str">
        <x:v>TNC215</x:v>
      </x:c>
      <x:c r="E52" s="10" t="str">
        <x:v>Automate Investigations to Resolve Application Failures with AWS DevOps Agent</x:v>
      </x:c>
      <x:c r="F52" s="10" t="str">
        <x:v>Lab</x:v>
      </x:c>
      <x:c r="G52" s="10" t="n">
        <x:v>200</x:v>
      </x:c>
      <x:c r="H52" s="10" t="str">
        <x:v>模擬アプリ障害を発生させ、DevOps Agentがログ・metrics・変更履歴を相関する流れを確認。</x:v>
      </x:c>
      <x:c r="I52" s="10" t="str">
        <x:v>200レベルで障害調査の補助実習に向く。</x:v>
      </x:c>
      <x:c r="J52" s="10" t="str">
        <x:v>低〜中：説明理解・個別質問</x:v>
      </x:c>
      <x:c r="K52" s="10" t="str">
        <x:v>ログ、metrics、基本AWS操作</x:v>
      </x:c>
      <x:c r="L52" s="10" t="str">
        <x:v>公開未確認／実習体験を優先</x:v>
      </x:c>
      <x:c r="M52" s="10" t="str">
        <x:v>TNC215</x:v>
      </x:c>
      <x:c r="N52" s="12" t="e">
        <x:f>HYPERLINK("https://registration.awsevents.com/flow/awsevents/reinvent2026/eventcatalog/page/eventcatalog?search=TNC215","公式カタログ")</x:f>
        <x:v>HYPERLINK is not implemented. linkLocation=https://registration.awsevents.com/flow/awsevents/reinvent2026/eventcatalog/page/eventcatalog?search=TNC215, friendlyName=公式カタログ</x:v>
      </x:c>
    </x:row>
    <x:row r="53" ht="56" customHeight="1">
      <x:c r="A53" s="11" t="str">
        <x:v>未選択</x:v>
      </x:c>
      <x:c r="B53" s="10" t="str">
        <x:v>C 発展・条件付き</x:v>
      </x:c>
      <x:c r="C53" s="10" t="str">
        <x:v>ゲーム型Workshop</x:v>
      </x:c>
      <x:c r="D53" s="10" t="str">
        <x:v>SEC410</x:v>
      </x:c>
      <x:c r="E53" s="10" t="str">
        <x:v>AWS Security Incident Response Challenge: Defend the Cake</x:v>
      </x:c>
      <x:c r="F53" s="10" t="str">
        <x:v>Workshop</x:v>
      </x:c>
      <x:c r="G53" s="10" t="n">
        <x:v>400</x:v>
      </x:c>
      <x:c r="H53" s="10" t="str">
        <x:v>チームで防御、監視、対応Playbookを実施し、稼働中の攻撃者から資産を守る。</x:v>
      </x:c>
      <x:c r="I53" s="10" t="str">
        <x:v>GameDayに近い体験。ただし400レベルで時間制約下の相談負担も大きい。</x:v>
      </x:c>
      <x:c r="J53" s="10" t="str">
        <x:v>高：チーム競技</x:v>
      </x:c>
      <x:c r="K53" s="10" t="str">
        <x:v>セキュリティ運用・IR経験</x:v>
      </x:c>
      <x:c r="L53" s="10" t="str">
        <x:v>公開未確認／実習体験を優先</x:v>
      </x:c>
      <x:c r="M53" s="10" t="str">
        <x:v>SEC410</x:v>
      </x:c>
      <x:c r="N53" s="12" t="e">
        <x:f>HYPERLINK("https://registration.awsevents.com/flow/awsevents/reinvent2026/eventcatalog/page/eventcatalog?search=SEC410","公式カタログ")</x:f>
        <x:v>HYPERLINK is not implemented. linkLocation=https://registration.awsevents.com/flow/awsevents/reinvent2026/eventcatalog/page/eventcatalog?search=SEC410, friendlyName=公式カタログ</x:v>
      </x:c>
    </x:row>
    <x:row r="54" ht="56" customHeight="1">
      <x:c r="A54" s="11" t="str">
        <x:v>未選択</x:v>
      </x:c>
      <x:c r="B54" s="10" t="str">
        <x:v>C 発展・条件付き</x:v>
      </x:c>
      <x:c r="C54" s="10" t="str">
        <x:v>ゲーム型Workshop</x:v>
      </x:c>
      <x:c r="D54" s="10" t="str">
        <x:v>SEC401</x:v>
      </x:c>
      <x:c r="E54" s="10" t="str">
        <x:v>Winning the DDoS Game: defend your app under real-time attack</x:v>
      </x:c>
      <x:c r="F54" s="10" t="str">
        <x:v>Workshop</x:v>
      </x:c>
      <x:c r="G54" s="10" t="n">
        <x:v>400</x:v>
      </x:c>
      <x:c r="H54" s="10" t="str">
        <x:v>WAFとShieldでHTTP flood、Web攻撃、悪性botを防ぐチーム競技。</x:v>
      </x:c>
      <x:c r="I54" s="10" t="str">
        <x:v>DDoS対策への関心が強い場合。400レベル。</x:v>
      </x:c>
      <x:c r="J54" s="10" t="str">
        <x:v>高：チーム競技</x:v>
      </x:c>
      <x:c r="K54" s="10" t="str">
        <x:v>WAF、Shield、HTTPの理解</x:v>
      </x:c>
      <x:c r="L54" s="10" t="str">
        <x:v>公開未確認／実習体験を優先</x:v>
      </x:c>
      <x:c r="M54" s="10" t="str">
        <x:v>SEC401</x:v>
      </x:c>
      <x:c r="N54" s="12" t="e">
        <x:f>HYPERLINK("https://registration.awsevents.com/flow/awsevents/reinvent2026/eventcatalog/page/eventcatalog?search=SEC401","公式カタログ")</x:f>
        <x:v>HYPERLINK is not implemented. linkLocation=https://registration.awsevents.com/flow/awsevents/reinvent2026/eventcatalog/page/eventcatalog?search=SEC401, friendlyName=公式カタログ</x:v>
      </x:c>
    </x:row>
    <x:row r="55" ht="56" customHeight="1">
      <x:c r="A55" s="11" t="str">
        <x:v>未選択</x:v>
      </x:c>
      <x:c r="B55" s="10" t="str">
        <x:v>C 発展・条件付き</x:v>
      </x:c>
      <x:c r="C55" s="10" t="str">
        <x:v>ゲーム型Builders</x:v>
      </x:c>
      <x:c r="D55" s="10" t="str">
        <x:v>SEC316</x:v>
      </x:c>
      <x:c r="E55" s="10" t="str">
        <x:v>Crypto Escape Room: Race to migrate to quantum resistance</x:v>
      </x:c>
      <x:c r="F55" s="10" t="str">
        <x:v>Builders' session</x:v>
      </x:c>
      <x:c r="G55" s="10" t="n">
        <x:v>300</x:v>
      </x:c>
      <x:c r="H55" s="10" t="str">
        <x:v>TLS、コード署名、PKI、耐量子暗号への移行課題を時間内に解く。</x:v>
      </x:c>
      <x:c r="I55" s="10" t="str">
        <x:v>短いゲーム型候補として有用だが暗号知識の予習が必要。</x:v>
      </x:c>
      <x:c r="J55" s="10" t="str">
        <x:v>高：チーム競技</x:v>
      </x:c>
      <x:c r="K55" s="10" t="str">
        <x:v>TLS、KMS、証明書、PKI</x:v>
      </x:c>
      <x:c r="L55" s="10" t="str">
        <x:v>公開未確認／実習体験を優先</x:v>
      </x:c>
      <x:c r="M55" s="10" t="str">
        <x:v>SEC316</x:v>
      </x:c>
      <x:c r="N55" s="12" t="e">
        <x:f>HYPERLINK("https://registration.awsevents.com/flow/awsevents/reinvent2026/eventcatalog/page/eventcatalog?search=SEC316","公式カタログ")</x:f>
        <x:v>HYPERLINK is not implemented. linkLocation=https://registration.awsevents.com/flow/awsevents/reinvent2026/eventcatalog/page/eventcatalog?search=SEC316, friendlyName=公式カタログ</x:v>
      </x:c>
    </x:row>
    <x:row r="56" ht="56" customHeight="1">
      <x:c r="A56" s="11" t="str">
        <x:v>未選択</x:v>
      </x:c>
      <x:c r="B56" s="10" t="str">
        <x:v>C 発展・条件付き</x:v>
      </x:c>
      <x:c r="C56" s="10" t="str">
        <x:v>マルチクラウド</x:v>
      </x:c>
      <x:c r="D56" s="10" t="str">
        <x:v>ANT444</x:v>
      </x:c>
      <x:c r="E56" s="10" t="str">
        <x:v>Build conversational AI agents for query federation with Amazon Athena</x:v>
      </x:c>
      <x:c r="F56" s="10" t="str">
        <x:v>Builders' session</x:v>
      </x:c>
      <x:c r="G56" s="10" t="n">
        <x:v>400</x:v>
      </x:c>
      <x:c r="H56" s="10" t="str">
        <x:v>Athenaのフェデレーションクエリで複数DB・クラウドを横断し、MCP経由でSQLを実行。</x:v>
      </x:c>
      <x:c r="I56" s="10" t="str">
        <x:v>コピーせずデータを利用する設計に関心がある場合。400レベル。</x:v>
      </x:c>
      <x:c r="J56" s="10" t="str">
        <x:v>中：説明理解・個別質問</x:v>
      </x:c>
      <x:c r="K56" s="10" t="str">
        <x:v>SQL、Athena、MCP</x:v>
      </x:c>
      <x:c r="L56" s="10" t="str">
        <x:v>公開未確認／実習体験を優先</x:v>
      </x:c>
      <x:c r="M56" s="10" t="str">
        <x:v>ANT444</x:v>
      </x:c>
      <x:c r="N56" s="12" t="e">
        <x:f>HYPERLINK("https://registration.awsevents.com/flow/awsevents/reinvent2026/eventcatalog/page/eventcatalog?search=ANT444","公式カタログ")</x:f>
        <x:v>HYPERLINK is not implemented. linkLocation=https://registration.awsevents.com/flow/awsevents/reinvent2026/eventcatalog/page/eventcatalog?search=ANT444, friendlyName=公式カタログ</x:v>
      </x:c>
    </x:row>
    <x:row r="57" ht="56" customHeight="1">
      <x:c r="A57" s="11" t="str">
        <x:v>未選択</x:v>
      </x:c>
      <x:c r="B57" s="10" t="str">
        <x:v>C 発展・条件付き</x:v>
      </x:c>
      <x:c r="C57" s="10" t="str">
        <x:v>IaC</x:v>
      </x:c>
      <x:c r="D57" s="10" t="str">
        <x:v>SEC404</x:v>
      </x:c>
      <x:c r="E57" s="10" t="str">
        <x:v>Ship Permissions Faster: IAM Policy Tools in Your CI/CD Pipeline</x:v>
      </x:c>
      <x:c r="F57" s="10" t="str">
        <x:v>Builders' session</x:v>
      </x:c>
      <x:c r="G57" s="10" t="n">
        <x:v>400</x:v>
      </x:c>
      <x:c r="H57" s="10" t="str">
        <x:v>IAMポリシー検証、権限シミュレーション、SCP影響確認、拒否エラー調査をパイプライン化。</x:v>
      </x:c>
      <x:c r="I57" s="10" t="str">
        <x:v>権限管理まで自動化したい場合の上級候補。</x:v>
      </x:c>
      <x:c r="J57" s="10" t="str">
        <x:v>中：説明理解・個別質問</x:v>
      </x:c>
      <x:c r="K57" s="10" t="str">
        <x:v>IAMポリシーとSCPの実務経験</x:v>
      </x:c>
      <x:c r="L57" s="10" t="str">
        <x:v>公開未確認／実習体験を優先</x:v>
      </x:c>
      <x:c r="M57" s="10" t="str">
        <x:v>SEC404</x:v>
      </x:c>
      <x:c r="N57" s="12" t="e">
        <x:f>HYPERLINK("https://registration.awsevents.com/flow/awsevents/reinvent2026/eventcatalog/page/eventcatalog?search=SEC404","公式カタログ")</x:f>
        <x:v>HYPERLINK is not implemented. linkLocation=https://registration.awsevents.com/flow/awsevents/reinvent2026/eventcatalog/page/eventcatalog?search=SEC404, friendlyName=公式カタログ</x:v>
      </x:c>
    </x:row>
    <x:row r="58" ht="56" customHeight="1">
      <x:c r="A58" s="11" t="str">
        <x:v>未選択</x:v>
      </x:c>
      <x:c r="B58" s="10" t="str">
        <x:v>C 発展・条件付き</x:v>
      </x:c>
      <x:c r="C58" s="10" t="str">
        <x:v>IaC</x:v>
      </x:c>
      <x:c r="D58" s="10" t="str">
        <x:v>CON304</x:v>
      </x:c>
      <x:c r="E58" s="10" t="str">
        <x:v>Accelerate declarative resource management with Amazon EKS Capabilities</x:v>
      </x:c>
      <x:c r="F58" s="10" t="str">
        <x:v>Builders' session</x:v>
      </x:c>
      <x:c r="G58" s="10" t="n">
        <x:v>300</x:v>
      </x:c>
      <x:c r="H58" s="10" t="str">
        <x:v>EKS Capabilitiesとkroを使い、既存IaCからKubernetes型リソース定義への移行を実践。</x:v>
      </x:c>
      <x:c r="I58" s="10" t="str">
        <x:v>Kubernetes中心の基盤運用をしている場合に有力。</x:v>
      </x:c>
      <x:c r="J58" s="10" t="str">
        <x:v>中：説明理解・個別質問</x:v>
      </x:c>
      <x:c r="K58" s="10" t="str">
        <x:v>Kubernetes、EKS、宣言的管理</x:v>
      </x:c>
      <x:c r="L58" s="10" t="str">
        <x:v>公開未確認／実習体験を優先</x:v>
      </x:c>
      <x:c r="M58" s="10" t="str">
        <x:v>CON304-R
CON304-R1</x:v>
      </x:c>
      <x:c r="N58" s="12" t="e">
        <x:f>HYPERLINK("https://registration.awsevents.com/flow/awsevents/reinvent2026/eventcatalog/page/eventcatalog?search=CON304","公式カタログ")</x:f>
        <x:v>HYPERLINK is not implemented. linkLocation=https://registration.awsevents.com/flow/awsevents/reinvent2026/eventcatalog/page/eventcatalog?search=CON304, friendlyName=公式カタログ</x:v>
      </x:c>
    </x:row>
    <x:row r="59" ht="56" customHeight="1">
      <x:c r="A59" s="11" t="str">
        <x:v>未選択</x:v>
      </x:c>
      <x:c r="B59" s="10" t="str">
        <x:v>C 発展・条件付き</x:v>
      </x:c>
      <x:c r="C59" s="10" t="str">
        <x:v>アーキテクチャ</x:v>
      </x:c>
      <x:c r="D59" s="10" t="str">
        <x:v>SVS320</x:v>
      </x:c>
      <x:c r="E59" s="10" t="str">
        <x:v>Same code, any compute: Portable architecture on AWS</x:v>
      </x:c>
      <x:c r="F59" s="10" t="str">
        <x:v>Builders' session</x:v>
      </x:c>
      <x:c r="G59" s="10" t="n">
        <x:v>300</x:v>
      </x:c>
      <x:c r="H59" s="10" t="str">
        <x:v>同じ処理をLambda、Fargate、EKSへ展開するHexagonal Architectureをライブコードで比較。</x:v>
      </x:c>
      <x:c r="I59" s="10" t="str">
        <x:v>可搬性への関心に合うが、AWS内の選択肢。自分で操作する範囲は要確認。</x:v>
      </x:c>
      <x:c r="J59" s="10" t="str">
        <x:v>中：説明理解・個別質問</x:v>
      </x:c>
      <x:c r="K59" s="10" t="str">
        <x:v>コンテナ、Lambda、12-factor</x:v>
      </x:c>
      <x:c r="L59" s="10" t="str">
        <x:v>公開未確認／実習体験を優先</x:v>
      </x:c>
      <x:c r="M59" s="10" t="str">
        <x:v>SVS320</x:v>
      </x:c>
      <x:c r="N59" s="12" t="e">
        <x:f>HYPERLINK("https://registration.awsevents.com/flow/awsevents/reinvent2026/eventcatalog/page/eventcatalog?search=SVS320","公式カタログ")</x:f>
        <x:v>HYPERLINK is not implemented. linkLocation=https://registration.awsevents.com/flow/awsevents/reinvent2026/eventcatalog/page/eventcatalog?search=SVS320, friendlyName=公式カタログ</x:v>
      </x:c>
    </x:row>
    <x:row r="60" ht="56" customHeight="1">
      <x:c r="A60" s="11" t="str">
        <x:v>未選択</x:v>
      </x:c>
      <x:c r="B60" s="10" t="str">
        <x:v>C 発展・条件付き</x:v>
      </x:c>
      <x:c r="C60" s="10" t="str">
        <x:v>アーキテクチャ</x:v>
      </x:c>
      <x:c r="D60" s="10" t="str">
        <x:v>CON302</x:v>
      </x:c>
      <x:c r="E60" s="10" t="str">
        <x:v>Hybrid Kubernetes made simple: EKS Hybrid Nodes gateway for on-prem and edge AI</x:v>
      </x:c>
      <x:c r="F60" s="10" t="str">
        <x:v>Builders' session</x:v>
      </x:c>
      <x:c r="G60" s="10" t="n">
        <x:v>300</x:v>
      </x:c>
      <x:c r="H60" s="10" t="str">
        <x:v>EKS Hybrid Nodesでオンプレノードとクラウドを接続。通信、データ所在、障害切替を検証。</x:v>
      </x:c>
      <x:c r="I60" s="10" t="str">
        <x:v>ハイブリッドKubernetesの実践。複数パブリッククラウドの実習とは異なる。</x:v>
      </x:c>
      <x:c r="J60" s="10" t="str">
        <x:v>中：説明理解・個別質問</x:v>
      </x:c>
      <x:c r="K60" s="10" t="str">
        <x:v>Kubernetes、EKS、ネットワーク</x:v>
      </x:c>
      <x:c r="L60" s="10" t="str">
        <x:v>公開未確認／実習体験を優先</x:v>
      </x:c>
      <x:c r="M60" s="10" t="str">
        <x:v>CON302</x:v>
      </x:c>
      <x:c r="N60" s="12" t="e">
        <x:f>HYPERLINK("https://registration.awsevents.com/flow/awsevents/reinvent2026/eventcatalog/page/eventcatalog?search=CON302","公式カタログ")</x:f>
        <x:v>HYPERLINK is not implemented. linkLocation=https://registration.awsevents.com/flow/awsevents/reinvent2026/eventcatalog/page/eventcatalog?search=CON302, friendlyName=公式カタログ</x:v>
      </x:c>
    </x:row>
    <x:row r="61" ht="56" customHeight="1">
      <x:c r="A61" s="11" t="str">
        <x:v>未選択</x:v>
      </x:c>
      <x:c r="B61" s="10" t="str">
        <x:v>C 発展・条件付き</x:v>
      </x:c>
      <x:c r="C61" s="10" t="str">
        <x:v>データベース</x:v>
      </x:c>
      <x:c r="D61" s="10" t="str">
        <x:v>DAT432</x:v>
      </x:c>
      <x:c r="E61" s="10" t="str">
        <x:v>Build eval-driven skills for Aurora PostgreSQL operations</x:v>
      </x:c>
      <x:c r="F61" s="10" t="str">
        <x:v>Workshop</x:v>
      </x:c>
      <x:c r="G61" s="10" t="n">
        <x:v>400</x:v>
      </x:c>
      <x:c r="H61" s="10" t="str">
        <x:v>Aurora PostgreSQLのlock、replica lag、vacuum等を題材に、評価付き運用skillを実装。</x:v>
      </x:c>
      <x:c r="I61" s="10" t="str">
        <x:v>DB運用経験があり、AIによる運用自動化も試したい場合。</x:v>
      </x:c>
      <x:c r="J61" s="10" t="str">
        <x:v>中：説明理解・個別質問</x:v>
      </x:c>
      <x:c r="K61" s="10" t="str">
        <x:v>PostgreSQL運用、SQL、lockとvacuum</x:v>
      </x:c>
      <x:c r="L61" s="10" t="str">
        <x:v>公開未確認／実習体験を優先</x:v>
      </x:c>
      <x:c r="M61" s="10" t="str">
        <x:v>DAT432</x:v>
      </x:c>
      <x:c r="N61" s="12" t="e">
        <x:f>HYPERLINK("https://registration.awsevents.com/flow/awsevents/reinvent2026/eventcatalog/page/eventcatalog?search=DAT432","公式カタログ")</x:f>
        <x:v>HYPERLINK is not implemented. linkLocation=https://registration.awsevents.com/flow/awsevents/reinvent2026/eventcatalog/page/eventcatalog?search=DAT432, friendlyName=公式カタログ</x:v>
      </x:c>
    </x:row>
    <x:row r="62" ht="56" customHeight="1">
      <x:c r="A62" s="11" t="str">
        <x:v>未選択</x:v>
      </x:c>
      <x:c r="B62" s="10" t="str">
        <x:v>C 発展・条件付き</x:v>
      </x:c>
      <x:c r="C62" s="10" t="str">
        <x:v>データベース</x:v>
      </x:c>
      <x:c r="D62" s="10" t="str">
        <x:v>DAT301</x:v>
      </x:c>
      <x:c r="E62" s="10" t="str">
        <x:v>Autonomous DBOps: Agentic AI for maintaining databases</x:v>
      </x:c>
      <x:c r="F62" s="10" t="str">
        <x:v>Builders' session</x:v>
      </x:c>
      <x:c r="G62" s="10" t="n">
        <x:v>300</x:v>
      </x:c>
      <x:c r="H62" s="10" t="str">
        <x:v>Aurora/RDSの遅いクエリ、索引、監視をAIエージェントで診断・改善する。</x:v>
      </x:c>
      <x:c r="I62" s="10" t="str">
        <x:v>DB運用自動化の候補。ただし説明にデモ要素があり操作範囲は確認。</x:v>
      </x:c>
      <x:c r="J62" s="10" t="str">
        <x:v>中：説明理解・個別質問</x:v>
      </x:c>
      <x:c r="K62" s="10" t="str">
        <x:v>RDS/Aurora、SQL、CloudWatch</x:v>
      </x:c>
      <x:c r="L62" s="10" t="str">
        <x:v>公開未確認／実習体験を優先</x:v>
      </x:c>
      <x:c r="M62" s="10" t="str">
        <x:v>DAT301-R
DAT301-R1</x:v>
      </x:c>
      <x:c r="N62" s="12" t="e">
        <x:f>HYPERLINK("https://registration.awsevents.com/flow/awsevents/reinvent2026/eventcatalog/page/eventcatalog?search=DAT301","公式カタログ")</x:f>
        <x:v>HYPERLINK is not implemented. linkLocation=https://registration.awsevents.com/flow/awsevents/reinvent2026/eventcatalog/page/eventcatalog?search=DAT301, friendlyName=公式カタログ</x:v>
      </x:c>
    </x:row>
    <x:row r="63" ht="56" customHeight="1">
      <x:c r="A63" s="11" t="str">
        <x:v>未選択</x:v>
      </x:c>
      <x:c r="B63" s="10" t="str">
        <x:v>C 発展・条件付き</x:v>
      </x:c>
      <x:c r="C63" s="10" t="str">
        <x:v>ストレージ</x:v>
      </x:c>
      <x:c r="D63" s="10" t="str">
        <x:v>STG406</x:v>
      </x:c>
      <x:c r="E63" s="10" t="str">
        <x:v>Advanced S3 performance engineering: From multipart to resilience</x:v>
      </x:c>
      <x:c r="F63" s="10" t="str">
        <x:v>Workshop</x:v>
      </x:c>
      <x:c r="G63" s="10" t="n">
        <x:v>400</x:v>
      </x:c>
      <x:c r="H63" s="10" t="str">
        <x:v>S3 Standard/Express One Zoneでmultipart、転送、retry、エラー処理を実装。</x:v>
      </x:c>
      <x:c r="I63" s="10" t="str">
        <x:v>S3性能を深掘りしたい場合の400レベル候補。</x:v>
      </x:c>
      <x:c r="J63" s="10" t="str">
        <x:v>中：説明理解・個別質問</x:v>
      </x:c>
      <x:c r="K63" s="10" t="str">
        <x:v>S3 API、SDK、並列転送</x:v>
      </x:c>
      <x:c r="L63" s="10" t="str">
        <x:v>公開未確認／実習体験を優先</x:v>
      </x:c>
      <x:c r="M63" s="10" t="str">
        <x:v>STG406-R
STG406-R1</x:v>
      </x:c>
      <x:c r="N63" s="12" t="e">
        <x:f>HYPERLINK("https://registration.awsevents.com/flow/awsevents/reinvent2026/eventcatalog/page/eventcatalog?search=STG406","公式カタログ")</x:f>
        <x:v>HYPERLINK is not implemented. linkLocation=https://registration.awsevents.com/flow/awsevents/reinvent2026/eventcatalog/page/eventcatalog?search=STG406, friendlyName=公式カタログ</x:v>
      </x:c>
    </x:row>
    <x:row r="64" ht="56" customHeight="1">
      <x:c r="A64" s="11" t="str">
        <x:v>未選択</x:v>
      </x:c>
      <x:c r="B64" s="10" t="str">
        <x:v>C 発展・条件付き</x:v>
      </x:c>
      <x:c r="C64" s="10" t="str">
        <x:v>ストレージ</x:v>
      </x:c>
      <x:c r="D64" s="10" t="str">
        <x:v>STG403</x:v>
      </x:c>
      <x:c r="E64" s="10" t="str">
        <x:v>Build a real-time data lakehouse with CDC streams on S3 Tables</x:v>
      </x:c>
      <x:c r="F64" s="10" t="str">
        <x:v>Workshop</x:v>
      </x:c>
      <x:c r="G64" s="10" t="n">
        <x:v>400</x:v>
      </x:c>
      <x:c r="H64" s="10" t="str">
        <x:v>MSKのCDCをS3 Tablesへ取り込み、medallion構成とcompactionを実装。</x:v>
      </x:c>
      <x:c r="I64" s="10" t="str">
        <x:v>リアルタイムデータ基盤まで深掘りする発展候補。</x:v>
      </x:c>
      <x:c r="J64" s="10" t="str">
        <x:v>中：説明理解・個別質問</x:v>
      </x:c>
      <x:c r="K64" s="10" t="str">
        <x:v>Kafka、CDC、Iceberg</x:v>
      </x:c>
      <x:c r="L64" s="10" t="str">
        <x:v>公開未確認／実習体験を優先</x:v>
      </x:c>
      <x:c r="M64" s="10" t="str">
        <x:v>STG403</x:v>
      </x:c>
      <x:c r="N64" s="12" t="e">
        <x:f>HYPERLINK("https://registration.awsevents.com/flow/awsevents/reinvent2026/eventcatalog/page/eventcatalog?search=STG403","公式カタログ")</x:f>
        <x:v>HYPERLINK is not implemented. linkLocation=https://registration.awsevents.com/flow/awsevents/reinvent2026/eventcatalog/page/eventcatalog?search=STG403, friendlyName=公式カタログ</x:v>
      </x:c>
    </x:row>
    <x:row r="65" ht="56" customHeight="1">
      <x:c r="A65" s="11" t="str">
        <x:v>未選択</x:v>
      </x:c>
      <x:c r="B65" s="10" t="str">
        <x:v>C 発展・条件付き</x:v>
      </x:c>
      <x:c r="C65" s="10" t="str">
        <x:v>ストレージ</x:v>
      </x:c>
      <x:c r="D65" s="10" t="str">
        <x:v>STG340</x:v>
      </x:c>
      <x:c r="E65" s="10" t="str">
        <x:v>Improving your database agility with Amazon FSx</x:v>
      </x:c>
      <x:c r="F65" s="10" t="str">
        <x:v>Workshop</x:v>
      </x:c>
      <x:c r="G65" s="10" t="n">
        <x:v>300</x:v>
      </x:c>
      <x:c r="H65" s="10" t="str">
        <x:v>FSxによる自己管理DBの可用性、snapshot、clone、復旧構成を検討。</x:v>
      </x:c>
      <x:c r="I65" s="10" t="str">
        <x:v>Oracle/SQL Server等の運用に合うが、説明はホワイトボード中心で操作量要確認。</x:v>
      </x:c>
      <x:c r="J65" s="10" t="str">
        <x:v>高：構成を議論</x:v>
      </x:c>
      <x:c r="K65" s="10" t="str">
        <x:v>FSxと自己管理DBの運用</x:v>
      </x:c>
      <x:c r="L65" s="10" t="str">
        <x:v>公開未確認／実習体験を優先</x:v>
      </x:c>
      <x:c r="M65" s="10" t="str">
        <x:v>STG340</x:v>
      </x:c>
      <x:c r="N65" s="12" t="e">
        <x:f>HYPERLINK("https://registration.awsevents.com/flow/awsevents/reinvent2026/eventcatalog/page/eventcatalog?search=STG340","公式カタログ")</x:f>
        <x:v>HYPERLINK is not implemented. linkLocation=https://registration.awsevents.com/flow/awsevents/reinvent2026/eventcatalog/page/eventcatalog?search=STG340, friendlyName=公式カタログ</x:v>
      </x:c>
    </x:row>
    <x:row r="66" ht="56" customHeight="1">
      <x:c r="A66" s="11" t="str">
        <x:v>未選択</x:v>
      </x:c>
      <x:c r="B66" s="10" t="str">
        <x:v>C 発展・条件付き</x:v>
      </x:c>
      <x:c r="C66" s="10" t="str">
        <x:v>セキュリティ</x:v>
      </x:c>
      <x:c r="D66" s="10" t="str">
        <x:v>SEC408</x:v>
      </x:c>
      <x:c r="E66" s="10" t="str">
        <x:v>Build a container pipeline that blocks tampered images at the gate</x:v>
      </x:c>
      <x:c r="F66" s="10" t="str">
        <x:v>Builders' session</x:v>
      </x:c>
      <x:c r="G66" s="10" t="n">
        <x:v>400</x:v>
      </x:c>
      <x:c r="H66" s="10" t="str">
        <x:v>ECR署名、InspectorのSBOM、Kyvernoの入場制御を構成し、攻撃シミュレーションで検証。</x:v>
      </x:c>
      <x:c r="I66" s="10" t="str">
        <x:v>コンテナとソフトウェア供給網を深掘りしたい場合。</x:v>
      </x:c>
      <x:c r="J66" s="10" t="str">
        <x:v>中：説明理解・個別質問</x:v>
      </x:c>
      <x:c r="K66" s="10" t="str">
        <x:v>コンテナ、CI/CD、署名検証</x:v>
      </x:c>
      <x:c r="L66" s="10" t="str">
        <x:v>公開未確認／実習体験を優先</x:v>
      </x:c>
      <x:c r="M66" s="10" t="str">
        <x:v>SEC408-R
SEC408-R1</x:v>
      </x:c>
      <x:c r="N66" s="12" t="e">
        <x:f>HYPERLINK("https://registration.awsevents.com/flow/awsevents/reinvent2026/eventcatalog/page/eventcatalog?search=SEC408","公式カタログ")</x:f>
        <x:v>HYPERLINK is not implemented. linkLocation=https://registration.awsevents.com/flow/awsevents/reinvent2026/eventcatalog/page/eventcatalog?search=SEC408, friendlyName=公式カタログ</x:v>
      </x:c>
    </x:row>
    <x:row r="67" ht="56" customHeight="1">
      <x:c r="A67" s="11" t="str">
        <x:v>未選択</x:v>
      </x:c>
      <x:c r="B67" s="10" t="str">
        <x:v>C 発展・条件付き</x:v>
      </x:c>
      <x:c r="C67" s="10" t="str">
        <x:v>Lab</x:v>
      </x:c>
      <x:c r="D67" s="10" t="str">
        <x:v>TNC332</x:v>
      </x:c>
      <x:c r="E67" s="10" t="str">
        <x:v>Secure AI Agent Access with AgentCore Identity</x:v>
      </x:c>
      <x:c r="F67" s="10" t="str">
        <x:v>Lab</x:v>
      </x:c>
      <x:c r="G67" s="10" t="n">
        <x:v>300</x:v>
      </x:c>
      <x:c r="H67" s="10" t="str">
        <x:v>CognitoとAgentCore IdentityでJWTを設定し、未認証アクセス拒否を試す。</x:v>
      </x:c>
      <x:c r="I67" s="10" t="str">
        <x:v>AIシステムの認証にも関心がある場合の短い補助候補。</x:v>
      </x:c>
      <x:c r="J67" s="10" t="str">
        <x:v>低〜中：説明理解・個別質問</x:v>
      </x:c>
      <x:c r="K67" s="10" t="str">
        <x:v>JWT、Cognito、認証の基本</x:v>
      </x:c>
      <x:c r="L67" s="10" t="str">
        <x:v>公開未確認／実習体験を優先</x:v>
      </x:c>
      <x:c r="M67" s="10" t="str">
        <x:v>TNC332</x:v>
      </x:c>
      <x:c r="N67" s="12" t="e">
        <x:f>HYPERLINK("https://registration.awsevents.com/flow/awsevents/reinvent2026/eventcatalog/page/eventcatalog?search=TNC332","公式カタログ")</x:f>
        <x:v>HYPERLINK is not implemented. linkLocation=https://registration.awsevents.com/flow/awsevents/reinvent2026/eventcatalog/page/eventcatalog?search=TNC332, friendlyName=公式カタログ</x:v>
      </x:c>
    </x:row>
  </x:sheetData>
  <x:conditionalFormatting sqref="B8:B67">
    <x:cfRule type="beginsWith" dxfId="0" priority="1" operator="beginsWith" text="A"/>
  </x:conditionalFormatting>
  <x:conditionalFormatting sqref="A8:A67">
    <x:cfRule type="containsText" dxfId="1" priority="2" operator="containsText" text="第一希望"/>
  </x:conditionalFormatting>
  <x:dataValidations count="1">
    <x:dataValidation type="list" sqref="A8:A67">
      <x:formula1>"未選択,第一希望,代替,見送り"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c423bd71a843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6" hidden="0" customWidth="1"/>
    <x:col min="2" max="2" width="15" hidden="0" customWidth="1"/>
    <x:col min="3" max="3" width="20" hidden="0" customWidth="1"/>
    <x:col min="4" max="4" width="23" hidden="0" customWidth="1"/>
    <x:col min="5" max="5" width="35" hidden="0" customWidth="1"/>
    <x:col min="6" max="6" width="29" hidden="0" customWidth="1"/>
    <x:col min="7" max="7" width="44" hidden="0" customWidth="1"/>
    <x:col min="8" max="8" width="42" hidden="0" customWidth="1"/>
    <x:col min="9" max="9" width="50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2" t="str">
        <x:v>GameDayと近い体験を比較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3" t="str">
        <x:v>13候補のうち1本を先に確保。短時間と推測せず、開催時間とチーム編成を確認して選ぶ。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Gamified learningでもTabletop／Rodeoは議論・説明が多いため今回は主候補から除外。Jamも英会話なしではない。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出典：各公式セッション説明。GameDayのスポンサー製品は実習に組み込まれる。比較の順位と会話負担は推薦判断。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0" customHeight="1">
      <x:c r="A7" s="8" t="str">
        <x:v>順</x:v>
      </x:c>
      <x:c r="B7" s="8" t="str">
        <x:v>コード</x:v>
      </x:c>
      <x:c r="C7" s="8" t="str">
        <x:v>優先度</x:v>
      </x:c>
      <x:c r="D7" s="8" t="str">
        <x:v>公式形式</x:v>
      </x:c>
      <x:c r="E7" s="8" t="str">
        <x:v>おすすめの使い分け</x:v>
      </x:c>
      <x:c r="F7" s="8" t="str">
        <x:v>英会話負担の目安</x:v>
      </x:c>
      <x:c r="G7" s="8" t="str">
        <x:v>参加・チーム方式</x:v>
      </x:c>
      <x:c r="H7" s="8" t="str">
        <x:v>支援の記載</x:v>
      </x:c>
      <x:c r="I7" s="8" t="str">
        <x:v>選ぶ理由と注意</x:v>
      </x:c>
      <x:c r="J7" s="8" t="str">
        <x:v>公式リンク</x:v>
      </x:c>
    </x:row>
    <x:row r="8" ht="56" customHeight="1">
      <x:c r="A8" s="10" t="n">
        <x:v>1</x:v>
      </x:c>
      <x:c r="B8" s="10" t="str">
        <x:v>GHJ302-S</x:v>
      </x:c>
      <x:c r="C8" s="10" t="str">
        <x:v>A 最優先</x:v>
      </x:c>
      <x:c r="D8" s="10" t="str">
        <x:v>Gamified learning</x:v>
      </x:c>
      <x:c r="E8" s="10" t="str">
        <x:v>本命</x:v>
      </x:c>
      <x:c r="F8" s="10" t="str">
        <x:v>高：チーム調整・時間制約</x:v>
      </x:c>
      <x:c r="G8" s="10" t="str">
        <x:v>単独参加可。参加後はチーム競技。人数は記載なし。</x:v>
      </x:c>
      <x:c r="H8" s="10" t="str">
        <x:v>ヒント方式は未確認。スタッフへの相談方法を当日確認。</x:v>
      </x:c>
      <x:c r="I8" s="10" t="str">
        <x:v>ストレージ、DB保護、アーキテクチャを横断。GameDay第一候補。</x:v>
      </x:c>
      <x:c r="J8" s="12" t="e">
        <x:f>HYPERLINK("https://registration.awsevents.com/flow/awsevents/reinvent2026/eventcatalog/page/eventcatalog?search=GHJ302-S","公式カタログ")</x:f>
        <x:v>HYPERLINK is not implemented. linkLocation=https://registration.awsevents.com/flow/awsevents/reinvent2026/eventcatalog/page/eventcatalog?search=GHJ302-S, friendlyName=公式カタログ</x:v>
      </x:c>
    </x:row>
    <x:row r="9" ht="56" customHeight="1">
      <x:c r="A9" s="10" t="n">
        <x:v>2</x:v>
      </x:c>
      <x:c r="B9" s="10" t="str">
        <x:v>GHJ312</x:v>
      </x:c>
      <x:c r="C9" s="10" t="str">
        <x:v>A 最優先</x:v>
      </x:c>
      <x:c r="D9" s="10" t="str">
        <x:v>Gamified learning</x:v>
      </x:c>
      <x:c r="E9" s="10" t="str">
        <x:v>会話負担が心配なときの第一代替</x:v>
      </x:c>
      <x:c r="F9" s="10" t="str">
        <x:v>中〜高：ヒントと専門家支援</x:v>
      </x:c>
      <x:c r="G9" s="10" t="str">
        <x:v>2人チーム持参／現地で合流。</x:v>
      </x:c>
      <x:c r="H9" s="10" t="str">
        <x:v>ガイド／ヒント／AWS専門家支援の記載あり</x:v>
      </x:c>
      <x:c r="I9" s="10" t="str">
        <x:v>ヒント・ガイド・専門家支援が明記。英会話が心配な場合の第一代替。</x:v>
      </x:c>
      <x:c r="J9" s="12" t="e">
        <x:f>HYPERLINK("https://registration.awsevents.com/flow/awsevents/reinvent2026/eventcatalog/page/eventcatalog?search=GHJ312","公式カタログ")</x:f>
        <x:v>HYPERLINK is not implemented. linkLocation=https://registration.awsevents.com/flow/awsevents/reinvent2026/eventcatalog/page/eventcatalog?search=GHJ312, friendlyName=公式カタログ</x:v>
      </x:c>
    </x:row>
    <x:row r="10" ht="56" customHeight="1">
      <x:c r="A10" s="10" t="n">
        <x:v>3</x:v>
      </x:c>
      <x:c r="B10" s="10" t="str">
        <x:v>GHJ310-S</x:v>
      </x:c>
      <x:c r="C10" s="10" t="str">
        <x:v>A 最優先</x:v>
      </x:c>
      <x:c r="D10" s="10" t="str">
        <x:v>Gamified learning</x:v>
      </x:c>
      <x:c r="E10" s="10" t="str">
        <x:v>セキュリティ志向の代替</x:v>
      </x:c>
      <x:c r="F10" s="10" t="str">
        <x:v>中〜高：ヒントと専門家支援</x:v>
      </x:c>
      <x:c r="G10" s="10" t="str">
        <x:v>2人チーム持参／現地で合流。</x:v>
      </x:c>
      <x:c r="H10" s="10" t="str">
        <x:v>ガイド／ヒント／AWS専門家支援の記載あり</x:v>
      </x:c>
      <x:c r="I10" s="10" t="str">
        <x:v>セキュリティ志向の代替。ガイドと専門家支援が明記。</x:v>
      </x:c>
      <x:c r="J10" s="12" t="e">
        <x:f>HYPERLINK("https://registration.awsevents.com/flow/awsevents/reinvent2026/eventcatalog/page/eventcatalog?search=GHJ310-S","公式カタログ")</x:f>
        <x:v>HYPERLINK is not implemented. linkLocation=https://registration.awsevents.com/flow/awsevents/reinvent2026/eventcatalog/page/eventcatalog?search=GHJ310-S, friendlyName=公式カタログ</x:v>
      </x:c>
    </x:row>
    <x:row r="11" ht="56" customHeight="1">
      <x:c r="A11" s="10" t="n">
        <x:v>4</x:v>
      </x:c>
      <x:c r="B11" s="10" t="str">
        <x:v>GHJ305</x:v>
      </x:c>
      <x:c r="C11" s="10" t="str">
        <x:v>B 有力</x:v>
      </x:c>
      <x:c r="D11" s="10" t="str">
        <x:v>Gamified learning</x:v>
      </x:c>
      <x:c r="E11" s="10" t="str">
        <x:v>関心に応じた代替</x:v>
      </x:c>
      <x:c r="F11" s="10" t="str">
        <x:v>高：チーム調整・時間制約</x:v>
      </x:c>
      <x:c r="G11" s="10" t="str">
        <x:v>単独参加可。参加後はチーム競技。人数は記載なし。</x:v>
      </x:c>
      <x:c r="H11" s="10" t="str">
        <x:v>ヒント方式は未確認。スタッフへの相談方法を当日確認。</x:v>
      </x:c>
      <x:c r="I11" s="10" t="str">
        <x:v>アプリケーションセキュリティに直接つながる実践。</x:v>
      </x:c>
      <x:c r="J11" s="12" t="e">
        <x:f>HYPERLINK("https://registration.awsevents.com/flow/awsevents/reinvent2026/eventcatalog/page/eventcatalog?search=GHJ305","公式カタログ")</x:f>
        <x:v>HYPERLINK is not implemented. linkLocation=https://registration.awsevents.com/flow/awsevents/reinvent2026/eventcatalog/page/eventcatalog?search=GHJ305, friendlyName=公式カタログ</x:v>
      </x:c>
    </x:row>
    <x:row r="12" ht="56" customHeight="1">
      <x:c r="A12" s="10" t="n">
        <x:v>5</x:v>
      </x:c>
      <x:c r="B12" s="10" t="str">
        <x:v>GHJ307-S</x:v>
      </x:c>
      <x:c r="C12" s="10" t="str">
        <x:v>B 有力</x:v>
      </x:c>
      <x:c r="D12" s="10" t="str">
        <x:v>Gamified learning</x:v>
      </x:c>
      <x:c r="E12" s="10" t="str">
        <x:v>関心に応じた代替</x:v>
      </x:c>
      <x:c r="F12" s="10" t="str">
        <x:v>高：チーム調整・時間制約</x:v>
      </x:c>
      <x:c r="G12" s="10" t="str">
        <x:v>単独参加可。参加後はチーム競技。人数は記載なし。</x:v>
      </x:c>
      <x:c r="H12" s="10" t="str">
        <x:v>ヒント方式は未確認。スタッフへの相談方法を当日確認。</x:v>
      </x:c>
      <x:c r="I12" s="10" t="str">
        <x:v>検知・対応を重視する場合。SentinelOne連携のスポンサー回。</x:v>
      </x:c>
      <x:c r="J12" s="12" t="e">
        <x:f>HYPERLINK("https://registration.awsevents.com/flow/awsevents/reinvent2026/eventcatalog/page/eventcatalog?search=GHJ307-S","公式カタログ")</x:f>
        <x:v>HYPERLINK is not implemented. linkLocation=https://registration.awsevents.com/flow/awsevents/reinvent2026/eventcatalog/page/eventcatalog?search=GHJ307-S, friendlyName=公式カタログ</x:v>
      </x:c>
    </x:row>
    <x:row r="13" ht="56" customHeight="1">
      <x:c r="A13" s="10" t="n">
        <x:v>6</x:v>
      </x:c>
      <x:c r="B13" s="10" t="str">
        <x:v>GHJ304-S</x:v>
      </x:c>
      <x:c r="C13" s="10" t="str">
        <x:v>B 有力</x:v>
      </x:c>
      <x:c r="D13" s="10" t="str">
        <x:v>Gamified learning</x:v>
      </x:c>
      <x:c r="E13" s="10" t="str">
        <x:v>関心に応じた代替</x:v>
      </x:c>
      <x:c r="F13" s="10" t="str">
        <x:v>高：チーム調整・時間制約</x:v>
      </x:c>
      <x:c r="G13" s="10" t="str">
        <x:v>単独参加可。参加後はチーム競技。人数は記載なし。</x:v>
      </x:c>
      <x:c r="H13" s="10" t="str">
        <x:v>ヒント方式は未確認。スタッフへの相談方法を当日確認。</x:v>
      </x:c>
      <x:c r="I13" s="10" t="str">
        <x:v>基盤設計・IaC周辺への関心と合う。Red Hat連携。</x:v>
      </x:c>
      <x:c r="J13" s="12" t="e">
        <x:f>HYPERLINK("https://registration.awsevents.com/flow/awsevents/reinvent2026/eventcatalog/page/eventcatalog?search=GHJ304-S","公式カタログ")</x:f>
        <x:v>HYPERLINK is not implemented. linkLocation=https://registration.awsevents.com/flow/awsevents/reinvent2026/eventcatalog/page/eventcatalog?search=GHJ304-S, friendlyName=公式カタログ</x:v>
      </x:c>
    </x:row>
    <x:row r="14" ht="56" customHeight="1">
      <x:c r="A14" s="10" t="n">
        <x:v>7</x:v>
      </x:c>
      <x:c r="B14" s="10" t="str">
        <x:v>GHJ303-S</x:v>
      </x:c>
      <x:c r="C14" s="10" t="str">
        <x:v>B 有力</x:v>
      </x:c>
      <x:c r="D14" s="10" t="str">
        <x:v>Gamified learning</x:v>
      </x:c>
      <x:c r="E14" s="10" t="str">
        <x:v>関心に応じた代替</x:v>
      </x:c>
      <x:c r="F14" s="10" t="str">
        <x:v>高：チーム調整・時間制約</x:v>
      </x:c>
      <x:c r="G14" s="10" t="str">
        <x:v>単独参加可。参加後はチーム競技。人数は記載なし。</x:v>
      </x:c>
      <x:c r="H14" s="10" t="str">
        <x:v>ヒント方式は未確認。スタッフへの相談方法を当日確認。</x:v>
      </x:c>
      <x:c r="I14" s="10" t="str">
        <x:v>開発基盤の改善に興味が強い場合。Dynatrace連携。</x:v>
      </x:c>
      <x:c r="J14" s="12" t="e">
        <x:f>HYPERLINK("https://registration.awsevents.com/flow/awsevents/reinvent2026/eventcatalog/page/eventcatalog?search=GHJ303-S","公式カタログ")</x:f>
        <x:v>HYPERLINK is not implemented. linkLocation=https://registration.awsevents.com/flow/awsevents/reinvent2026/eventcatalog/page/eventcatalog?search=GHJ303-S, friendlyName=公式カタログ</x:v>
      </x:c>
    </x:row>
    <x:row r="15" ht="56" customHeight="1">
      <x:c r="A15" s="10" t="n">
        <x:v>8</x:v>
      </x:c>
      <x:c r="B15" s="10" t="str">
        <x:v>GHJ306-S</x:v>
      </x:c>
      <x:c r="C15" s="10" t="str">
        <x:v>B 有力</x:v>
      </x:c>
      <x:c r="D15" s="10" t="str">
        <x:v>Gamified learning</x:v>
      </x:c>
      <x:c r="E15" s="10" t="str">
        <x:v>関心に応じた代替</x:v>
      </x:c>
      <x:c r="F15" s="10" t="str">
        <x:v>高：チーム調整・時間制約</x:v>
      </x:c>
      <x:c r="G15" s="10" t="str">
        <x:v>単独参加可。参加後はチーム競技。人数は記載なし。</x:v>
      </x:c>
      <x:c r="H15" s="10" t="str">
        <x:v>ヒント方式は未確認。スタッフへの相談方法を当日確認。</x:v>
      </x:c>
      <x:c r="I15" s="10" t="str">
        <x:v>運用とアーキテクチャを横断。Datadog連携。</x:v>
      </x:c>
      <x:c r="J15" s="12" t="e">
        <x:f>HYPERLINK("https://registration.awsevents.com/flow/awsevents/reinvent2026/eventcatalog/page/eventcatalog?search=GHJ306-S","公式カタログ")</x:f>
        <x:v>HYPERLINK is not implemented. linkLocation=https://registration.awsevents.com/flow/awsevents/reinvent2026/eventcatalog/page/eventcatalog?search=GHJ306-S, friendlyName=公式カタログ</x:v>
      </x:c>
    </x:row>
    <x:row r="16" ht="56" customHeight="1">
      <x:c r="A16" s="10" t="n">
        <x:v>9</x:v>
      </x:c>
      <x:c r="B16" s="10" t="str">
        <x:v>GHJ311</x:v>
      </x:c>
      <x:c r="C16" s="10" t="str">
        <x:v>B 有力</x:v>
      </x:c>
      <x:c r="D16" s="10" t="str">
        <x:v>Gamified learning</x:v>
      </x:c>
      <x:c r="E16" s="10" t="str">
        <x:v>関心に応じた代替</x:v>
      </x:c>
      <x:c r="F16" s="10" t="str">
        <x:v>中〜高：ヒントと専門家支援</x:v>
      </x:c>
      <x:c r="G16" s="10" t="str">
        <x:v>2人チーム持参／現地合流。単独作業の記述もあり当日確認。</x:v>
      </x:c>
      <x:c r="H16" s="10" t="str">
        <x:v>ガイド／ヒント／AWS専門家支援の記載あり</x:v>
      </x:c>
      <x:c r="I16" s="10" t="str">
        <x:v>分野を限定しない代替。説明には単独作業も記載されるが参加方式は当日確認。</x:v>
      </x:c>
      <x:c r="J16" s="12" t="e">
        <x:f>HYPERLINK("https://registration.awsevents.com/flow/awsevents/reinvent2026/eventcatalog/page/eventcatalog?search=GHJ311","公式カタログ")</x:f>
        <x:v>HYPERLINK is not implemented. linkLocation=https://registration.awsevents.com/flow/awsevents/reinvent2026/eventcatalog/page/eventcatalog?search=GHJ311, friendlyName=公式カタログ</x:v>
      </x:c>
    </x:row>
    <x:row r="17" ht="56" customHeight="1">
      <x:c r="A17" s="10" t="n">
        <x:v>10</x:v>
      </x:c>
      <x:c r="B17" s="10" t="str">
        <x:v>GHJ313-S</x:v>
      </x:c>
      <x:c r="C17" s="10" t="str">
        <x:v>B 有力</x:v>
      </x:c>
      <x:c r="D17" s="10" t="str">
        <x:v>Gamified learning</x:v>
      </x:c>
      <x:c r="E17" s="10" t="str">
        <x:v>関心に応じた代替</x:v>
      </x:c>
      <x:c r="F17" s="10" t="str">
        <x:v>中〜高：ヒントと専門家支援</x:v>
      </x:c>
      <x:c r="G17" s="10" t="str">
        <x:v>2人チーム持参／現地で合流。</x:v>
      </x:c>
      <x:c r="H17" s="10" t="str">
        <x:v>ガイド／ヒント／AWS専門家支援の記載あり</x:v>
      </x:c>
      <x:c r="I17" s="10" t="str">
        <x:v>開発セキュリティ向け。ガイドと専門家支援が明記。</x:v>
      </x:c>
      <x:c r="J17" s="12" t="e">
        <x:f>HYPERLINK("https://registration.awsevents.com/flow/awsevents/reinvent2026/eventcatalog/page/eventcatalog?search=GHJ313-S","公式カタログ")</x:f>
        <x:v>HYPERLINK is not implemented. linkLocation=https://registration.awsevents.com/flow/awsevents/reinvent2026/eventcatalog/page/eventcatalog?search=GHJ313-S, friendlyName=公式カタログ</x:v>
      </x:c>
    </x:row>
    <x:row r="18" ht="56" customHeight="1">
      <x:c r="A18" s="10" t="n">
        <x:v>11</x:v>
      </x:c>
      <x:c r="B18" s="10" t="str">
        <x:v>SEC410</x:v>
      </x:c>
      <x:c r="C18" s="10" t="str">
        <x:v>C 発展・条件付き</x:v>
      </x:c>
      <x:c r="D18" s="10" t="str">
        <x:v>Workshop</x:v>
      </x:c>
      <x:c r="E18" s="10" t="str">
        <x:v>前提知識がある場合</x:v>
      </x:c>
      <x:c r="F18" s="10" t="str">
        <x:v>高：チーム競技</x:v>
      </x:c>
      <x:c r="G18" s="10" t="str">
        <x:v>チーム形式。編成方法・人数は未確認。</x:v>
      </x:c>
      <x:c r="H18" s="10" t="str">
        <x:v>ヒント方式は未確認。スタッフへの相談方法を当日確認。</x:v>
      </x:c>
      <x:c r="I18" s="10" t="str">
        <x:v>GameDayに近い体験。ただし400レベルで時間制約下の相談負担も大きい。</x:v>
      </x:c>
      <x:c r="J18" s="12" t="e">
        <x:f>HYPERLINK("https://registration.awsevents.com/flow/awsevents/reinvent2026/eventcatalog/page/eventcatalog?search=SEC410","公式カタログ")</x:f>
        <x:v>HYPERLINK is not implemented. linkLocation=https://registration.awsevents.com/flow/awsevents/reinvent2026/eventcatalog/page/eventcatalog?search=SEC410, friendlyName=公式カタログ</x:v>
      </x:c>
    </x:row>
    <x:row r="19" ht="56" customHeight="1">
      <x:c r="A19" s="10" t="n">
        <x:v>12</x:v>
      </x:c>
      <x:c r="B19" s="10" t="str">
        <x:v>SEC401</x:v>
      </x:c>
      <x:c r="C19" s="10" t="str">
        <x:v>C 発展・条件付き</x:v>
      </x:c>
      <x:c r="D19" s="10" t="str">
        <x:v>Workshop</x:v>
      </x:c>
      <x:c r="E19" s="10" t="str">
        <x:v>前提知識がある場合</x:v>
      </x:c>
      <x:c r="F19" s="10" t="str">
        <x:v>高：チーム競技</x:v>
      </x:c>
      <x:c r="G19" s="10" t="str">
        <x:v>チーム形式。編成方法・人数は未確認。</x:v>
      </x:c>
      <x:c r="H19" s="10" t="str">
        <x:v>ヒント方式は未確認。スタッフへの相談方法を当日確認。</x:v>
      </x:c>
      <x:c r="I19" s="10" t="str">
        <x:v>DDoS対策への関心が強い場合。400レベル。</x:v>
      </x:c>
      <x:c r="J19" s="12" t="e">
        <x:f>HYPERLINK("https://registration.awsevents.com/flow/awsevents/reinvent2026/eventcatalog/page/eventcatalog?search=SEC401","公式カタログ")</x:f>
        <x:v>HYPERLINK is not implemented. linkLocation=https://registration.awsevents.com/flow/awsevents/reinvent2026/eventcatalog/page/eventcatalog?search=SEC401, friendlyName=公式カタログ</x:v>
      </x:c>
    </x:row>
    <x:row r="20" ht="56" customHeight="1">
      <x:c r="A20" s="10" t="n">
        <x:v>13</x:v>
      </x:c>
      <x:c r="B20" s="10" t="str">
        <x:v>SEC316</x:v>
      </x:c>
      <x:c r="C20" s="10" t="str">
        <x:v>C 発展・条件付き</x:v>
      </x:c>
      <x:c r="D20" s="10" t="str">
        <x:v>Builders' session</x:v>
      </x:c>
      <x:c r="E20" s="10" t="str">
        <x:v>前提知識がある場合</x:v>
      </x:c>
      <x:c r="F20" s="10" t="str">
        <x:v>高：チーム競技</x:v>
      </x:c>
      <x:c r="G20" s="10" t="str">
        <x:v>チーム形式。編成方法・人数は未確認。</x:v>
      </x:c>
      <x:c r="H20" s="10" t="str">
        <x:v>ヒント方式は未確認。スタッフへの相談方法を当日確認。</x:v>
      </x:c>
      <x:c r="I20" s="10" t="str">
        <x:v>短いゲーム型候補として有用だが暗号知識の予習が必要。</x:v>
      </x:c>
      <x:c r="J20" s="12" t="e">
        <x:f>HYPERLINK("https://registration.awsevents.com/flow/awsevents/reinvent2026/eventcatalog/page/eventcatalog?search=SEC316","公式カタログ")</x:f>
        <x:v>HYPERLINK is not implemented. linkLocation=https://registration.awsevents.com/flow/awsevents/reinvent2026/eventcatalog/page/eventcatalog?search=SEC316, friendlyName=公式カタログ</x:v>
      </x:c>
    </x:row>
  </x:sheetData>
  <x:pageMargins left="0.7" right="0.7" top="0.75" bottom="0.75" header="0.3" footer="0.3"/>
  <x:tableParts count="1">
    <x:tablePart xmlns:r="http://schemas.openxmlformats.org/officeDocument/2006/relationships" r:id="R2662c6e49e9648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67" hidden="0" customWidth="1"/>
    <x:col min="3" max="3" width="105" hidden="0" customWidth="1"/>
    <x:col min="4" max="4" width="24" hidden="0" customWidth="1"/>
  </x:cols>
  <x:sheetData>
    <x:row r="1">
      <x:c r="A1" s="1"/>
      <x:c r="B1" s="1"/>
      <x:c r="C1" s="1"/>
      <x:c r="D1" s="1"/>
    </x:row>
    <x:row r="2" ht="27" customHeight="1">
      <x:c r="A2" s="2" t="str">
        <x:v>1週間の組み方と英語の準備</x:v>
      </x:c>
      <x:c r="B2" s="1"/>
      <x:c r="C2" s="1"/>
      <x:c r="D2" s="1"/>
    </x:row>
    <x:row r="3" ht="23" customHeight="1">
      <x:c r="A3" s="3" t="str">
        <x:v>日別欄は配置例。セッションの実際の開催曜日を示すものではありません。</x:v>
      </x:c>
      <x:c r="B3" s="1"/>
      <x:c r="C3" s="1"/>
      <x:c r="D3" s="1"/>
    </x:row>
    <x:row r="4">
      <x:c r="A4" s="1" t="str">
        <x:v>まずGameDay系1本と、NET307・SVS302・STG336等の主軸を確保。空いた時間をLabで補完。</x:v>
      </x:c>
      <x:c r="B4" s="1"/>
      <x:c r="C4" s="1"/>
      <x:c r="D4" s="1"/>
    </x:row>
    <x:row r="5">
      <x:c r="A5" s="1"/>
      <x:c r="B5" s="1"/>
      <x:c r="C5" s="1"/>
      <x:c r="D5" s="1"/>
    </x:row>
    <x:row r="6">
      <x:c r="A6" s="1"/>
      <x:c r="B6" s="1"/>
      <x:c r="C6" s="1"/>
      <x:c r="D6" s="1"/>
    </x:row>
    <x:row r="7" ht="30" customHeight="1">
      <x:c r="A7" s="8" t="str">
        <x:v>項目</x:v>
      </x:c>
      <x:c r="B7" s="8" t="str">
        <x:v>提案・確認事項</x:v>
      </x:c>
      <x:c r="C7" s="8" t="str">
        <x:v>具体的な使い方</x:v>
      </x:c>
      <x:c r="D7" s="8" t="str">
        <x:v>根拠・区分</x:v>
      </x:c>
    </x:row>
    <x:row r="8" ht="54" customHeight="1">
      <x:c r="A8" s="10" t="str">
        <x:v>開催期間</x:v>
      </x:c>
      <x:c r="B8" s="10" t="str">
        <x:v>11月30日 月曜〜12月4日 金曜</x:v>
      </x:c>
      <x:c r="C8" s="10" t="str">
        <x:v>現地ラスベガスの日付。日曜入り・土曜発を仮定した滞在案。航空券や到着予定は未確認。</x:v>
      </x:c>
      <x:c r="D8" s="10" t="str">
        <x:v>公式開催日／滞在は提案</x:v>
      </x:c>
    </x:row>
    <x:row r="9" ht="54" customHeight="1">
      <x:c r="A9" s="10" t="str">
        <x:v>最初の予約</x:v>
      </x:c>
      <x:c r="B9" s="10" t="str">
        <x:v>GHJ302-S を第一候補に1本</x:v>
      </x:c>
      <x:c r="C9" s="10" t="str">
        <x:v>難しければ GHJ312 または GHJ310-S。会話に不安があれば支援の明記されたJamを優先してもよい。</x:v>
      </x:c>
      <x:c r="D9" s="10" t="str">
        <x:v>推薦</x:v>
      </x:c>
    </x:row>
    <x:row r="10" ht="54" customHeight="1">
      <x:c r="A10" s="10" t="str">
        <x:v>11月29日 日曜</x:v>
      </x:c>
      <x:c r="B10" s="10" t="str">
        <x:v>到着・時差調整・機材確認</x:v>
      </x:c>
      <x:c r="C10" s="10" t="str">
        <x:v>実習環境案内、PC、充電器、ブラウザ、MFA、英語メモを準備。移動で疲れていれば学習予定を入れない。</x:v>
      </x:c>
      <x:c r="D10" s="10" t="str">
        <x:v>配置の提案</x:v>
      </x:c>
    </x:row>
    <x:row r="11" ht="54" customHeight="1">
      <x:c r="A11" s="10" t="str">
        <x:v>11月30日 月曜</x:v>
      </x:c>
      <x:c r="B11" s="10" t="str">
        <x:v>IaCを中心に実習へ慣れる</x:v>
      </x:c>
      <x:c r="C11" s="10" t="str">
        <x:v>SVS302 または DVT312を主軸。NET202やTNC208などを補助候補に。開催日の指定ではない。</x:v>
      </x:c>
      <x:c r="D11" s="10" t="str">
        <x:v>配置の提案</x:v>
      </x:c>
    </x:row>
    <x:row r="12" ht="54" customHeight="1">
      <x:c r="A12" s="10" t="str">
        <x:v>12月1日 火曜</x:v>
      </x:c>
      <x:c r="B12" s="10" t="str">
        <x:v>GameDay系にまとまった枠</x:v>
      </x:c>
      <x:c r="C12" s="10" t="str">
        <x:v>GHJ302-S／GHJ312等を実際の開催回に合わせて配置。その前後には重い実習を詰め込まない。</x:v>
      </x:c>
      <x:c r="D12" s="10" t="str">
        <x:v>配置の提案</x:v>
      </x:c>
    </x:row>
    <x:row r="13" ht="54" customHeight="1">
      <x:c r="A13" s="10" t="str">
        <x:v>12月2日 水曜</x:v>
      </x:c>
      <x:c r="B13" s="10" t="str">
        <x:v>マルチクラウドとデータ基盤</x:v>
      </x:c>
      <x:c r="C13" s="10" t="str">
        <x:v>NET307を主軸。ANT418またはSTG337を組み合わせる。上級実習は1日に集中させない。</x:v>
      </x:c>
      <x:c r="D13" s="10" t="str">
        <x:v>配置の提案</x:v>
      </x:c>
    </x:row>
    <x:row r="14" ht="54" customHeight="1">
      <x:c r="A14" s="10" t="str">
        <x:v>12月3日 木曜</x:v>
      </x:c>
      <x:c r="B14" s="10" t="str">
        <x:v>セキュリティを中心に</x:v>
      </x:c>
      <x:c r="C14" s="10" t="str">
        <x:v>公式のSecurity focusはWynn。SEC319、SEC309、STG336、SEC323等から実際の開催場所が合う回を選ぶ。</x:v>
      </x:c>
      <x:c r="D14" s="10" t="str">
        <x:v>公式テーマ／候補配置は提案</x:v>
      </x:c>
    </x:row>
    <x:row r="15" ht="54" customHeight="1">
      <x:c r="A15" s="10" t="str">
        <x:v>12月4日 金曜</x:v>
      </x:c>
      <x:c r="B15" s="10" t="str">
        <x:v>DBとストレージの補完</x:v>
      </x:c>
      <x:c r="C15" s="10" t="str">
        <x:v>STG333、STG412、DAT430等から不足分を選ぶ。帰路が同日なら空港移動を先に確保。</x:v>
      </x:c>
      <x:c r="D15" s="10" t="str">
        <x:v>配置の提案</x:v>
      </x:c>
    </x:row>
    <x:row r="16" ht="54" customHeight="1">
      <x:c r="A16" s="10" t="str">
        <x:v>12月5日 土曜</x:v>
      </x:c>
      <x:c r="B16" s="10" t="str">
        <x:v>帰国・振り返り</x:v>
      </x:c>
      <x:c r="C16" s="10" t="str">
        <x:v>実習の設計判断、詰まった箇所、試したい設定を整理。日程は旅程に合わせて調整。</x:v>
      </x:c>
      <x:c r="D16" s="10" t="str">
        <x:v>配置の提案</x:v>
      </x:c>
    </x:row>
    <x:row r="17" ht="54" customHeight="1">
      <x:c r="A17" s="10" t="str">
        <x:v>参加量</x:v>
      </x:c>
      <x:c r="B17" s="10" t="str">
        <x:v>Workshop 4〜6本＋短い実習3〜5本＋GameDay系1本を目安</x:v>
      </x:c>
      <x:c r="C17" s="10" t="str">
        <x:v>実際の所要時間で減らす。60種類は選択肢であり、全部への参加を想定しない。</x:v>
      </x:c>
      <x:c r="D17" s="10" t="str">
        <x:v>計画目安</x:v>
      </x:c>
    </x:row>
    <x:row r="18" ht="54" customHeight="1">
      <x:c r="A18" s="10" t="str">
        <x:v>重複を整理</x:v>
      </x:c>
      <x:c r="B18" s="10" t="str">
        <x:v>復旧系は1〜2本から</x:v>
      </x:c>
      <x:c r="C18" s="10" t="str">
        <x:v>STG339、STG410、SEC323とGHJ302-Sは内容が近い。Terraform／CloudFormation／CDKも得意分野と学習目的で選ぶ。</x:v>
      </x:c>
      <x:c r="D18" s="10" t="str">
        <x:v>推薦</x:v>
      </x:c>
    </x:row>
    <x:row r="19" ht="54" customHeight="1">
      <x:c r="A19" s="10" t="str">
        <x:v>移動・休憩</x:v>
      </x:c>
      <x:c r="B19" s="10" t="str">
        <x:v>同じ会場に半日まとめる</x:v>
      </x:c>
      <x:c r="C19" s="10" t="str">
        <x:v>会場間移動はまず60分程度の余白を仮置きし、場所と当日の交通で修正。公式の最低到着条件とは別。</x:v>
      </x:c>
      <x:c r="D19" s="10" t="str">
        <x:v>計画目安</x:v>
      </x:c>
    </x:row>
    <x:row r="20" ht="54" customHeight="1">
      <x:c r="A20" s="10" t="str">
        <x:v>予約時の確認</x:v>
      </x:c>
      <x:c r="B20" s="10" t="str">
        <x:v>お気に入りと座席予約は別</x:v>
      </x:c>
      <x:c r="C20" s="10" t="str">
        <x:v>公式FAQでは予約席は開始10分前までに到着しないと開放。満席なら再演回やwalk-upを確認。</x:v>
      </x:c>
      <x:c r="D20" s="10" t="str">
        <x:v>公式FAQ</x:v>
      </x:c>
    </x:row>
    <x:row r="21" ht="54" customHeight="1">
      <x:c r="A21" s="10" t="str">
        <x:v>録画</x:v>
      </x:c>
      <x:c r="B21" s="10" t="str">
        <x:v>KeynoteとBreakoutは後日視聴へ</x:v>
      </x:c>
      <x:c r="C21" s="10" t="str">
        <x:v>公式FAQはKeynote・Breakoutのオンデマンド公開を案内。他形式は個別の録画公開を確認できていない。非公開と断定しない。</x:v>
      </x:c>
      <x:c r="D21" s="10" t="str">
        <x:v>公式FAQ</x:v>
      </x:c>
    </x:row>
    <x:row r="22" ht="54" customHeight="1">
      <x:c r="A22" s="10" t="str">
        <x:v>形式の選び方</x:v>
      </x:c>
      <x:c r="B22" s="10" t="str">
        <x:v>Workshop／Builders／Labを主軸に</x:v>
      </x:c>
      <x:c r="C22" s="10" t="str">
        <x:v>Chalk talkは設計相談には有用だが会話が多い。Code talkやBuildersでもライブデモ中心なら操作範囲を確認。</x:v>
      </x:c>
      <x:c r="D22" s="10" t="str">
        <x:v>推薦</x:v>
      </x:c>
    </x:row>
    <x:row r="23" ht="54" customHeight="1">
      <x:c r="A23" s="10" t="str">
        <x:v>英語の聞き取り</x:v>
      </x:c>
      <x:c r="B23" s="10" t="str">
        <x:v>資料・画面・手順を先に追う</x:v>
      </x:c>
      <x:c r="C23" s="10" t="str">
        <x:v>公式FAQでは会場コンテンツに英語字幕を案内。チーム内会話の字幕や実習の日本語対応は保証されていない。</x:v>
      </x:c>
      <x:c r="D23" s="10" t="str">
        <x:v>公式FAQ／活用案</x:v>
      </x:c>
    </x:row>
    <x:row r="24" ht="54" customHeight="1">
      <x:c r="A24" s="10" t="str">
        <x:v>GameDayの最初</x:v>
      </x:c>
      <x:c r="B24" s="10" t="str">
        <x:v>担当を小さく決める</x:v>
      </x:c>
      <x:c r="C24" s="10" t="str">
        <x:v>ログ調査、S3/IAM設定、復旧確認など1つの作業を担当。変更前にチームへ一言共有し、結果を画面で示す。</x:v>
      </x:c>
      <x:c r="D24" s="10" t="str">
        <x:v>参加の工夫</x:v>
      </x:c>
    </x:row>
    <x:row r="25" ht="54" customHeight="1">
      <x:c r="A25" s="10" t="str">
        <x:v>英語フレーズ</x:v>
      </x:c>
      <x:c r="B25" s="10" t="str">
        <x:v>I’m still learning English. Could you speak a little slower?</x:v>
      </x:c>
      <x:c r="C25" s="10" t="str">
        <x:v>英語を勉強中です。少しゆっくり話していただけますか。</x:v>
      </x:c>
      <x:c r="D25" s="10" t="str">
        <x:v>事前練習</x:v>
      </x:c>
    </x:row>
    <x:row r="26" ht="54" customHeight="1">
      <x:c r="A26" s="10" t="str">
        <x:v>英語フレーズ</x:v>
      </x:c>
      <x:c r="B26" s="10" t="str">
        <x:v>Could you put the task in the chat?</x:v>
      </x:c>
      <x:c r="C26" s="10" t="str">
        <x:v>担当する作業をチャットに書いてもらえますか。</x:v>
      </x:c>
      <x:c r="D26" s="10" t="str">
        <x:v>事前練習</x:v>
      </x:c>
    </x:row>
    <x:row r="27" ht="54" customHeight="1">
      <x:c r="A27" s="10" t="str">
        <x:v>英語フレーズ</x:v>
      </x:c>
      <x:c r="B27" s="10" t="str">
        <x:v>I can check the logs and work on the backup configuration.</x:v>
      </x:c>
      <x:c r="C27" s="10" t="str">
        <x:v>ログ確認とバックアップ設定を担当できます。</x:v>
      </x:c>
      <x:c r="D27" s="10" t="str">
        <x:v>事前練習</x:v>
      </x:c>
    </x:row>
    <x:row r="28" ht="54" customHeight="1">
      <x:c r="A28" s="10" t="str">
        <x:v>英語フレーズ</x:v>
      </x:c>
      <x:c r="B28" s="10" t="str">
        <x:v>Before I change this policy, can you check it with me?</x:v>
      </x:c>
      <x:c r="C28" s="10" t="str">
        <x:v>このポリシーを変更する前に、一緒に確認してもらえますか。</x:v>
      </x:c>
      <x:c r="D28" s="10" t="str">
        <x:v>事前練習</x:v>
      </x:c>
    </x:row>
    <x:row r="29" ht="54" customHeight="1">
      <x:c r="A29" s="10" t="str">
        <x:v>英語フレーズ</x:v>
      </x:c>
      <x:c r="B29" s="10" t="str">
        <x:v>I’m stuck on this step. Could you show me the next action?</x:v>
      </x:c>
      <x:c r="C29" s="10" t="str">
        <x:v>この手順で止まっています。次の操作を見せていただけますか。</x:v>
      </x:c>
      <x:c r="D29" s="10" t="str">
        <x:v>事前練習</x:v>
      </x:c>
    </x:row>
    <x:row r="30" ht="54" customHeight="1">
      <x:c r="A30" s="10" t="str">
        <x:v>事前学習</x:v>
      </x:c>
      <x:c r="B30" s="10" t="str">
        <x:v>実習の前提知識を優先</x:v>
      </x:c>
      <x:c r="C30" s="10" t="str">
        <x:v>Terraformならmodule/state、DBならSQLとtransaction、セキュリティならIAMとネットワークを復習。英会話力と技術レベルは別に判断。</x:v>
      </x:c>
      <x:c r="D30" s="10" t="str">
        <x:v>推薦</x:v>
      </x:c>
    </x:row>
    <x:row r="31" ht="54" customHeight="1">
      <x:c r="A31" s="10" t="str">
        <x:v>公開情報の範囲</x:v>
      </x:c>
      <x:c r="B31" s="10" t="str">
        <x:v>実習形式620開催回を確認</x:v>
      </x:c>
      <x:c r="C31" s="10" t="str">
        <x:v>2026年10月6日の公開カタログでWorkshop、Builders、Lab、Gamified learningを全件読み込み、同一コード系列をまとめて60種類選定。追加・改訂あり。</x:v>
      </x:c>
      <x:c r="D31" s="10" t="str">
        <x:v>調査範囲</x:v>
      </x:c>
    </x:row>
    <x:row r="32" ht="54" customHeight="1">
      <x:c r="A32" s="10" t="str">
        <x:v>日程の扱い</x:v>
      </x:c>
      <x:c r="B32" s="10" t="str">
        <x:v>日時・会場・所要時間・空席は未確認</x:v>
      </x:c>
      <x:c r="C32" s="10" t="str">
        <x:v>公開表示から個別の日時等を取得できなかったため、「開催回と予約」で確認して入力。上の日別案は確定タイムテーブルではない。</x:v>
      </x:c>
      <x:c r="D32" s="10" t="str">
        <x:v>要確認</x:v>
      </x:c>
    </x:row>
    <x:row r="33" ht="54" customHeight="1">
      <x:c r="A33" s="10" t="str">
        <x:v>出典</x:v>
      </x:c>
      <x:c r="B33" s="10" t="str">
        <x:v>AWS re Invent 2026 公式サイト</x:v>
      </x:c>
      <x:c r="C33" s="10" t="str">
        <x:v>https://reinvent.awsevents.com/index.html</x:v>
      </x:c>
      <x:c r="D33" s="10" t="str">
        <x:v>確認日 2026-10-06</x:v>
      </x:c>
    </x:row>
    <x:row r="34" ht="54" customHeight="1">
      <x:c r="A34" s="10" t="str">
        <x:v>出典</x:v>
      </x:c>
      <x:c r="B34" s="10" t="str">
        <x:v>公式FAQ</x:v>
      </x:c>
      <x:c r="C34" s="10" t="str">
        <x:v>https://aws.amazon.com/events/reinvent/faqs/</x:v>
      </x:c>
      <x:c r="D34" s="10" t="str">
        <x:v>確認日 2026-10-06</x:v>
      </x:c>
    </x:row>
    <x:row r="35" ht="54" customHeight="1">
      <x:c r="A35" s="10" t="str">
        <x:v>出典</x:v>
      </x:c>
      <x:c r="B35" s="10" t="str">
        <x:v>形式・レベルの公式案内</x:v>
      </x:c>
      <x:c r="C35" s="10" t="str">
        <x:v>https://aws.amazon.com/events/reinvent/sessions/how-youll-learn/</x:v>
      </x:c>
      <x:c r="D35" s="10" t="str">
        <x:v>確認日 2026-10-06</x:v>
      </x:c>
    </x:row>
    <x:row r="36" ht="54" customHeight="1">
      <x:c r="A36" s="10" t="str">
        <x:v>出典</x:v>
      </x:c>
      <x:c r="B36" s="10" t="str">
        <x:v>公式カタログ</x:v>
      </x:c>
      <x:c r="C36" s="10" t="str">
        <x:v>https://registration.awsevents.com/flow/awsevents/reinvent2026/eventcatalog/page/eventcatalog</x:v>
      </x:c>
      <x:c r="D36" s="10" t="str">
        <x:v>確認日 2026-10-06</x:v>
      </x:c>
    </x:row>
  </x:sheetData>
  <x:pageMargins left="0.7" right="0.7" top="0.75" bottom="0.75" header="0.3" footer="0.3"/>
  <x:tableParts count="1">
    <x:tablePart xmlns:r="http://schemas.openxmlformats.org/officeDocument/2006/relationships" r:id="R7702cbbfabdc4b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9" hidden="0" customWidth="1"/>
    <x:col min="3" max="3" width="64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30" hidden="0" customWidth="1"/>
    <x:col min="9" max="9" width="18" hidden="0" customWidth="1"/>
    <x:col min="10" max="10" width="22" hidden="0" customWidth="1"/>
    <x:col min="11" max="11" width="3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7" customHeight="1">
      <x:c r="A2" s="2" t="str">
        <x:v>開催回と座席予約の確認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同じ基本コードの再演回は原則どれか1回を選ぶ。黄色セルは確認後に入力。日時は現地ラスベガス時刻。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出典：2026年10月6日のAWS公式カタログ。個別リンクは開催回コードでの検索。予約操作は行っていません。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日付は日付型、開始・終了は時刻として入力。未入力は未確認であり、終日・未開催を意味しません。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0" customHeight="1">
      <x:c r="A7" s="8" t="str">
        <x:v>基本コード</x:v>
      </x:c>
      <x:c r="B7" s="8" t="str">
        <x:v>開催回コード</x:v>
      </x:c>
      <x:c r="C7" s="8" t="str">
        <x:v>公式タイトル</x:v>
      </x:c>
      <x:c r="D7" s="8" t="str">
        <x:v>予約状況</x:v>
      </x:c>
      <x:c r="E7" s="8" t="str">
        <x:v>開催日 現地</x:v>
      </x:c>
      <x:c r="F7" s="8" t="str">
        <x:v>開始 現地</x:v>
      </x:c>
      <x:c r="G7" s="8" t="str">
        <x:v>終了 現地</x:v>
      </x:c>
      <x:c r="H7" s="8" t="str">
        <x:v>会場・部屋</x:v>
      </x:c>
      <x:c r="I7" s="8" t="str">
        <x:v>日程確認</x:v>
      </x:c>
      <x:c r="J7" s="8" t="str">
        <x:v>PCの掲載表示</x:v>
      </x:c>
      <x:c r="K7" s="8" t="str">
        <x:v>メモ</x:v>
      </x:c>
      <x:c r="L7" s="8" t="str">
        <x:v>公式リンク</x:v>
      </x:c>
    </x:row>
    <x:row r="8" ht="60" customHeight="1">
      <x:c r="A8" s="10" t="str">
        <x:v>GHJ302-S</x:v>
      </x:c>
      <x:c r="B8" s="10" t="str">
        <x:v>GHJ302-S</x:v>
      </x:c>
      <x:c r="C8" s="10" t="str">
        <x:v>AWS GameDay - Resilience &amp; Disaster Recovery ft. Clumio by Commvault (GHJ302-S)</x:v>
      </x:c>
      <x:c r="D8" s="11" t="str">
        <x:v>未確認</x:v>
      </x:c>
      <x:c r="E8" s="13"/>
      <x:c r="F8" s="14"/>
      <x:c r="G8" s="14"/>
      <x:c r="H8" s="11" t="str"/>
      <x:c r="I8" s="11" t="str">
        <x:v>未確認</x:v>
      </x:c>
      <x:c r="J8" s="10" t="str">
        <x:v>Laptop required</x:v>
      </x:c>
      <x:c r="K8" s="11" t="str"/>
      <x:c r="L8" s="12" t="e">
        <x:f>HYPERLINK("https://registration.awsevents.com/flow/awsevents/reinvent2026/eventcatalog/page/eventcatalog?search=GHJ302-S","公式カタログ")</x:f>
        <x:v>HYPERLINK is not implemented. linkLocation=https://registration.awsevents.com/flow/awsevents/reinvent2026/eventcatalog/page/eventcatalog?search=GHJ302-S, friendlyName=公式カタログ</x:v>
      </x:c>
    </x:row>
    <x:row r="9" ht="60" customHeight="1">
      <x:c r="A9" s="10" t="str">
        <x:v>GHJ312</x:v>
      </x:c>
      <x:c r="B9" s="10" t="str">
        <x:v>GHJ312</x:v>
      </x:c>
      <x:c r="C9" s="10" t="str">
        <x:v>DevOps and Modernization Jam (GHJ312)</x:v>
      </x:c>
      <x:c r="D9" s="11" t="str">
        <x:v>未確認</x:v>
      </x:c>
      <x:c r="E9" s="13"/>
      <x:c r="F9" s="14"/>
      <x:c r="G9" s="14"/>
      <x:c r="H9" s="11" t="str"/>
      <x:c r="I9" s="11" t="str">
        <x:v>未確認</x:v>
      </x:c>
      <x:c r="J9" s="10" t="str">
        <x:v>Laptop required</x:v>
      </x:c>
      <x:c r="K9" s="11" t="str"/>
      <x:c r="L9" s="12" t="e">
        <x:f>HYPERLINK("https://registration.awsevents.com/flow/awsevents/reinvent2026/eventcatalog/page/eventcatalog?search=GHJ312","公式カタログ")</x:f>
        <x:v>HYPERLINK is not implemented. linkLocation=https://registration.awsevents.com/flow/awsevents/reinvent2026/eventcatalog/page/eventcatalog?search=GHJ312, friendlyName=公式カタログ</x:v>
      </x:c>
    </x:row>
    <x:row r="10" ht="60" customHeight="1">
      <x:c r="A10" s="10" t="str">
        <x:v>GHJ310-S</x:v>
      </x:c>
      <x:c r="B10" s="10" t="str">
        <x:v>GHJ310-S</x:v>
      </x:c>
      <x:c r="C10" s="10" t="str">
        <x:v>Security Jam - sponsored by Fortinet (GHJ310-S)</x:v>
      </x:c>
      <x:c r="D10" s="11" t="str">
        <x:v>未確認</x:v>
      </x:c>
      <x:c r="E10" s="13"/>
      <x:c r="F10" s="14"/>
      <x:c r="G10" s="14"/>
      <x:c r="H10" s="11" t="str"/>
      <x:c r="I10" s="11" t="str">
        <x:v>未確認</x:v>
      </x:c>
      <x:c r="J10" s="10" t="str">
        <x:v>Laptop required</x:v>
      </x:c>
      <x:c r="K10" s="11" t="str"/>
      <x:c r="L10" s="12" t="e">
        <x:f>HYPERLINK("https://registration.awsevents.com/flow/awsevents/reinvent2026/eventcatalog/page/eventcatalog?search=GHJ310-S","公式カタログ")</x:f>
        <x:v>HYPERLINK is not implemented. linkLocation=https://registration.awsevents.com/flow/awsevents/reinvent2026/eventcatalog/page/eventcatalog?search=GHJ310-S, friendlyName=公式カタログ</x:v>
      </x:c>
    </x:row>
    <x:row r="11" ht="60" customHeight="1">
      <x:c r="A11" s="10" t="str">
        <x:v>NET307</x:v>
      </x:c>
      <x:c r="B11" s="10" t="str">
        <x:v>NET307-R</x:v>
      </x:c>
      <x:c r="C11" s="10" t="str">
        <x:v>Bridging clouds: Building global multicloud and hybrid networks on AWS (NET307-R)</x:v>
      </x:c>
      <x:c r="D11" s="11" t="str">
        <x:v>未確認</x:v>
      </x:c>
      <x:c r="E11" s="13"/>
      <x:c r="F11" s="14"/>
      <x:c r="G11" s="14"/>
      <x:c r="H11" s="11" t="str"/>
      <x:c r="I11" s="11" t="str">
        <x:v>未確認</x:v>
      </x:c>
      <x:c r="J11" s="10" t="str">
        <x:v>Laptop required</x:v>
      </x:c>
      <x:c r="K11" s="11" t="str"/>
      <x:c r="L11" s="12" t="e">
        <x:f>HYPERLINK("https://registration.awsevents.com/flow/awsevents/reinvent2026/eventcatalog/page/eventcatalog?search=NET307-R","公式カタログ")</x:f>
        <x:v>HYPERLINK is not implemented. linkLocation=https://registration.awsevents.com/flow/awsevents/reinvent2026/eventcatalog/page/eventcatalog?search=NET307-R, friendlyName=公式カタログ</x:v>
      </x:c>
    </x:row>
    <x:row r="12" ht="60" customHeight="1">
      <x:c r="A12" s="10" t="str">
        <x:v>NET307</x:v>
      </x:c>
      <x:c r="B12" s="10" t="str">
        <x:v>NET307-R1</x:v>
      </x:c>
      <x:c r="C12" s="10" t="str">
        <x:v>Bridging clouds: Building global multicloud and hybrid networks on AWS (NET307-R1)</x:v>
      </x:c>
      <x:c r="D12" s="11" t="str">
        <x:v>未確認</x:v>
      </x:c>
      <x:c r="E12" s="13"/>
      <x:c r="F12" s="14"/>
      <x:c r="G12" s="14"/>
      <x:c r="H12" s="11" t="str"/>
      <x:c r="I12" s="11" t="str">
        <x:v>未確認</x:v>
      </x:c>
      <x:c r="J12" s="10" t="str">
        <x:v>Laptop required</x:v>
      </x:c>
      <x:c r="K12" s="11" t="str"/>
      <x:c r="L12" s="12" t="e">
        <x:f>HYPERLINK("https://registration.awsevents.com/flow/awsevents/reinvent2026/eventcatalog/page/eventcatalog?search=NET307-R1","公式カタログ")</x:f>
        <x:v>HYPERLINK is not implemented. linkLocation=https://registration.awsevents.com/flow/awsevents/reinvent2026/eventcatalog/page/eventcatalog?search=NET307-R1, friendlyName=公式カタログ</x:v>
      </x:c>
    </x:row>
    <x:row r="13" ht="60" customHeight="1">
      <x:c r="A13" s="10" t="str">
        <x:v>ANT418</x:v>
      </x:c>
      <x:c r="B13" s="10" t="str">
        <x:v>ANT418</x:v>
      </x:c>
      <x:c r="C13" s="10" t="str">
        <x:v>Experience catalog federation on AWS: build a multi-cloud open data lakehouse (ANT418)</x:v>
      </x:c>
      <x:c r="D13" s="11" t="str">
        <x:v>未確認</x:v>
      </x:c>
      <x:c r="E13" s="13"/>
      <x:c r="F13" s="14"/>
      <x:c r="G13" s="14"/>
      <x:c r="H13" s="11" t="str"/>
      <x:c r="I13" s="11" t="str">
        <x:v>未確認</x:v>
      </x:c>
      <x:c r="J13" s="10" t="str">
        <x:v>Laptop required</x:v>
      </x:c>
      <x:c r="K13" s="11" t="str"/>
      <x:c r="L13" s="12" t="e">
        <x:f>HYPERLINK("https://registration.awsevents.com/flow/awsevents/reinvent2026/eventcatalog/page/eventcatalog?search=ANT418","公式カタログ")</x:f>
        <x:v>HYPERLINK is not implemented. linkLocation=https://registration.awsevents.com/flow/awsevents/reinvent2026/eventcatalog/page/eventcatalog?search=ANT418, friendlyName=公式カタログ</x:v>
      </x:c>
    </x:row>
    <x:row r="14" ht="60" customHeight="1">
      <x:c r="A14" s="10" t="str">
        <x:v>STG337</x:v>
      </x:c>
      <x:c r="B14" s="10" t="str">
        <x:v>STG337</x:v>
      </x:c>
      <x:c r="C14" s="10" t="str">
        <x:v>Build and optimize data transfers with AWS DataSync Enhanced mode (STG337)</x:v>
      </x:c>
      <x:c r="D14" s="11" t="str">
        <x:v>未確認</x:v>
      </x:c>
      <x:c r="E14" s="13"/>
      <x:c r="F14" s="14"/>
      <x:c r="G14" s="14"/>
      <x:c r="H14" s="11" t="str"/>
      <x:c r="I14" s="11" t="str">
        <x:v>未確認</x:v>
      </x:c>
      <x:c r="J14" s="10" t="str">
        <x:v>Laptop required</x:v>
      </x:c>
      <x:c r="K14" s="11" t="str"/>
      <x:c r="L14" s="12" t="e">
        <x:f>HYPERLINK("https://registration.awsevents.com/flow/awsevents/reinvent2026/eventcatalog/page/eventcatalog?search=STG337","公式カタログ")</x:f>
        <x:v>HYPERLINK is not implemented. linkLocation=https://registration.awsevents.com/flow/awsevents/reinvent2026/eventcatalog/page/eventcatalog?search=STG337, friendlyName=公式カタログ</x:v>
      </x:c>
    </x:row>
    <x:row r="15" ht="60" customHeight="1">
      <x:c r="A15" s="10" t="str">
        <x:v>SVS302</x:v>
      </x:c>
      <x:c r="B15" s="10" t="str">
        <x:v>SVS302-R</x:v>
      </x:c>
      <x:c r="C15" s="10" t="str">
        <x:v>Building serverless applications with Terraform (SVS302-R)</x:v>
      </x:c>
      <x:c r="D15" s="11" t="str">
        <x:v>未確認</x:v>
      </x:c>
      <x:c r="E15" s="13"/>
      <x:c r="F15" s="14"/>
      <x:c r="G15" s="14"/>
      <x:c r="H15" s="11" t="str"/>
      <x:c r="I15" s="11" t="str">
        <x:v>未確認</x:v>
      </x:c>
      <x:c r="J15" s="10" t="str">
        <x:v>Laptop required</x:v>
      </x:c>
      <x:c r="K15" s="11" t="str"/>
      <x:c r="L15" s="12" t="e">
        <x:f>HYPERLINK("https://registration.awsevents.com/flow/awsevents/reinvent2026/eventcatalog/page/eventcatalog?search=SVS302-R","公式カタログ")</x:f>
        <x:v>HYPERLINK is not implemented. linkLocation=https://registration.awsevents.com/flow/awsevents/reinvent2026/eventcatalog/page/eventcatalog?search=SVS302-R, friendlyName=公式カタログ</x:v>
      </x:c>
    </x:row>
    <x:row r="16" ht="60" customHeight="1">
      <x:c r="A16" s="10" t="str">
        <x:v>SVS302</x:v>
      </x:c>
      <x:c r="B16" s="10" t="str">
        <x:v>SVS302-R1</x:v>
      </x:c>
      <x:c r="C16" s="10" t="str">
        <x:v>Building serverless applications with Terraform (SVS302-R1)</x:v>
      </x:c>
      <x:c r="D16" s="11" t="str">
        <x:v>未確認</x:v>
      </x:c>
      <x:c r="E16" s="13"/>
      <x:c r="F16" s="14"/>
      <x:c r="G16" s="14"/>
      <x:c r="H16" s="11" t="str"/>
      <x:c r="I16" s="11" t="str">
        <x:v>未確認</x:v>
      </x:c>
      <x:c r="J16" s="10" t="str">
        <x:v>Laptop required</x:v>
      </x:c>
      <x:c r="K16" s="11" t="str"/>
      <x:c r="L16" s="12" t="e">
        <x:f>HYPERLINK("https://registration.awsevents.com/flow/awsevents/reinvent2026/eventcatalog/page/eventcatalog?search=SVS302-R1","公式カタログ")</x:f>
        <x:v>HYPERLINK is not implemented. linkLocation=https://registration.awsevents.com/flow/awsevents/reinvent2026/eventcatalog/page/eventcatalog?search=SVS302-R1, friendlyName=公式カタログ</x:v>
      </x:c>
    </x:row>
    <x:row r="17" ht="60" customHeight="1">
      <x:c r="A17" s="10" t="str">
        <x:v>DVT312</x:v>
      </x:c>
      <x:c r="B17" s="10" t="str">
        <x:v>DVT312-R</x:v>
      </x:c>
      <x:c r="C17" s="10" t="str">
        <x:v>Deploy infrastructure with speed and safety using AWS CloudFormation (DVT312-R)</x:v>
      </x:c>
      <x:c r="D17" s="11" t="str">
        <x:v>未確認</x:v>
      </x:c>
      <x:c r="E17" s="13"/>
      <x:c r="F17" s="14"/>
      <x:c r="G17" s="14"/>
      <x:c r="H17" s="11" t="str"/>
      <x:c r="I17" s="11" t="str">
        <x:v>未確認</x:v>
      </x:c>
      <x:c r="J17" s="10" t="str">
        <x:v>Laptop required</x:v>
      </x:c>
      <x:c r="K17" s="11" t="str"/>
      <x:c r="L17" s="12" t="e">
        <x:f>HYPERLINK("https://registration.awsevents.com/flow/awsevents/reinvent2026/eventcatalog/page/eventcatalog?search=DVT312-R","公式カタログ")</x:f>
        <x:v>HYPERLINK is not implemented. linkLocation=https://registration.awsevents.com/flow/awsevents/reinvent2026/eventcatalog/page/eventcatalog?search=DVT312-R, friendlyName=公式カタログ</x:v>
      </x:c>
    </x:row>
    <x:row r="18" ht="60" customHeight="1">
      <x:c r="A18" s="10" t="str">
        <x:v>DVT312</x:v>
      </x:c>
      <x:c r="B18" s="10" t="str">
        <x:v>DVT312-R1</x:v>
      </x:c>
      <x:c r="C18" s="10" t="str">
        <x:v>Deploy infrastructure with speed and safety using AWS CloudFormation (DVT312-R1)</x:v>
      </x:c>
      <x:c r="D18" s="11" t="str">
        <x:v>未確認</x:v>
      </x:c>
      <x:c r="E18" s="13"/>
      <x:c r="F18" s="14"/>
      <x:c r="G18" s="14"/>
      <x:c r="H18" s="11" t="str"/>
      <x:c r="I18" s="11" t="str">
        <x:v>未確認</x:v>
      </x:c>
      <x:c r="J18" s="10" t="str">
        <x:v>Laptop required</x:v>
      </x:c>
      <x:c r="K18" s="11" t="str"/>
      <x:c r="L18" s="12" t="e">
        <x:f>HYPERLINK("https://registration.awsevents.com/flow/awsevents/reinvent2026/eventcatalog/page/eventcatalog?search=DVT312-R1","公式カタログ")</x:f>
        <x:v>HYPERLINK is not implemented. linkLocation=https://registration.awsevents.com/flow/awsevents/reinvent2026/eventcatalog/page/eventcatalog?search=DVT312-R1, friendlyName=公式カタログ</x:v>
      </x:c>
    </x:row>
    <x:row r="19" ht="60" customHeight="1">
      <x:c r="A19" s="10" t="str">
        <x:v>ARC313</x:v>
      </x:c>
      <x:c r="B19" s="10" t="str">
        <x:v>ARC313-R</x:v>
      </x:c>
      <x:c r="C19" s="10" t="str">
        <x:v>Red, green, re-architect: Test-driven infrastructure (ARC313-R)</x:v>
      </x:c>
      <x:c r="D19" s="11" t="str">
        <x:v>未確認</x:v>
      </x:c>
      <x:c r="E19" s="13"/>
      <x:c r="F19" s="14"/>
      <x:c r="G19" s="14"/>
      <x:c r="H19" s="11" t="str"/>
      <x:c r="I19" s="11" t="str">
        <x:v>未確認</x:v>
      </x:c>
      <x:c r="J19" s="10" t="str">
        <x:v>Laptop required</x:v>
      </x:c>
      <x:c r="K19" s="11" t="str"/>
      <x:c r="L19" s="12" t="e">
        <x:f>HYPERLINK("https://registration.awsevents.com/flow/awsevents/reinvent2026/eventcatalog/page/eventcatalog?search=ARC313-R","公式カタログ")</x:f>
        <x:v>HYPERLINK is not implemented. linkLocation=https://registration.awsevents.com/flow/awsevents/reinvent2026/eventcatalog/page/eventcatalog?search=ARC313-R, friendlyName=公式カタログ</x:v>
      </x:c>
    </x:row>
    <x:row r="20" ht="60" customHeight="1">
      <x:c r="A20" s="10" t="str">
        <x:v>ARC313</x:v>
      </x:c>
      <x:c r="B20" s="10" t="str">
        <x:v>ARC313-R1</x:v>
      </x:c>
      <x:c r="C20" s="10" t="str">
        <x:v>Red, green, re-architect: Test-driven infrastructure (ARC313-R1)</x:v>
      </x:c>
      <x:c r="D20" s="11" t="str">
        <x:v>未確認</x:v>
      </x:c>
      <x:c r="E20" s="13"/>
      <x:c r="F20" s="14"/>
      <x:c r="G20" s="14"/>
      <x:c r="H20" s="11" t="str"/>
      <x:c r="I20" s="11" t="str">
        <x:v>未確認</x:v>
      </x:c>
      <x:c r="J20" s="10" t="str">
        <x:v>Laptop required</x:v>
      </x:c>
      <x:c r="K20" s="11" t="str"/>
      <x:c r="L20" s="12" t="e">
        <x:f>HYPERLINK("https://registration.awsevents.com/flow/awsevents/reinvent2026/eventcatalog/page/eventcatalog?search=ARC313-R1","公式カタログ")</x:f>
        <x:v>HYPERLINK is not implemented. linkLocation=https://registration.awsevents.com/flow/awsevents/reinvent2026/eventcatalog/page/eventcatalog?search=ARC313-R1, friendlyName=公式カタログ</x:v>
      </x:c>
    </x:row>
    <x:row r="21" ht="60" customHeight="1">
      <x:c r="A21" s="10" t="str">
        <x:v>SEC309</x:v>
      </x:c>
      <x:c r="B21" s="10" t="str">
        <x:v>SEC309</x:v>
      </x:c>
      <x:c r="C21" s="10" t="str">
        <x:v>Network firewall deployment without the guesswork: codify, deploy, done (SEC309)</x:v>
      </x:c>
      <x:c r="D21" s="11" t="str">
        <x:v>未確認</x:v>
      </x:c>
      <x:c r="E21" s="13"/>
      <x:c r="F21" s="14"/>
      <x:c r="G21" s="14"/>
      <x:c r="H21" s="11" t="str"/>
      <x:c r="I21" s="11" t="str">
        <x:v>未確認</x:v>
      </x:c>
      <x:c r="J21" s="10" t="str">
        <x:v>Laptop required</x:v>
      </x:c>
      <x:c r="K21" s="11" t="str"/>
      <x:c r="L21" s="12" t="e">
        <x:f>HYPERLINK("https://registration.awsevents.com/flow/awsevents/reinvent2026/eventcatalog/page/eventcatalog?search=SEC309","公式カタログ")</x:f>
        <x:v>HYPERLINK is not implemented. linkLocation=https://registration.awsevents.com/flow/awsevents/reinvent2026/eventcatalog/page/eventcatalog?search=SEC309, friendlyName=公式カタログ</x:v>
      </x:c>
    </x:row>
    <x:row r="22" ht="60" customHeight="1">
      <x:c r="A22" s="10" t="str">
        <x:v>SEC309</x:v>
      </x:c>
      <x:c r="B22" s="10" t="str">
        <x:v>SEC309-R1</x:v>
      </x:c>
      <x:c r="C22" s="10" t="str">
        <x:v>Network firewall deployment without the guesswork: codify, deploy, done (SEC309-R1)</x:v>
      </x:c>
      <x:c r="D22" s="11" t="str">
        <x:v>未確認</x:v>
      </x:c>
      <x:c r="E22" s="13"/>
      <x:c r="F22" s="14"/>
      <x:c r="G22" s="14"/>
      <x:c r="H22" s="11" t="str"/>
      <x:c r="I22" s="11" t="str">
        <x:v>未確認</x:v>
      </x:c>
      <x:c r="J22" s="10" t="str">
        <x:v>Laptop required</x:v>
      </x:c>
      <x:c r="K22" s="11" t="str"/>
      <x:c r="L22" s="12" t="e">
        <x:f>HYPERLINK("https://registration.awsevents.com/flow/awsevents/reinvent2026/eventcatalog/page/eventcatalog?search=SEC309-R1","公式カタログ")</x:f>
        <x:v>HYPERLINK is not implemented. linkLocation=https://registration.awsevents.com/flow/awsevents/reinvent2026/eventcatalog/page/eventcatalog?search=SEC309-R1, friendlyName=公式カタログ</x:v>
      </x:c>
    </x:row>
    <x:row r="23" ht="60" customHeight="1">
      <x:c r="A23" s="10" t="str">
        <x:v>ARC309</x:v>
      </x:c>
      <x:c r="B23" s="10" t="str">
        <x:v>ARC309</x:v>
      </x:c>
      <x:c r="C23" s="10" t="str">
        <x:v>Break it to prove It: Fault-isolated architecture built to recover (ARC309)</x:v>
      </x:c>
      <x:c r="D23" s="11" t="str">
        <x:v>未確認</x:v>
      </x:c>
      <x:c r="E23" s="13"/>
      <x:c r="F23" s="14"/>
      <x:c r="G23" s="14"/>
      <x:c r="H23" s="11" t="str"/>
      <x:c r="I23" s="11" t="str">
        <x:v>未確認</x:v>
      </x:c>
      <x:c r="J23" s="10" t="str">
        <x:v>Laptop required</x:v>
      </x:c>
      <x:c r="K23" s="11" t="str"/>
      <x:c r="L23" s="12" t="e">
        <x:f>HYPERLINK("https://registration.awsevents.com/flow/awsevents/reinvent2026/eventcatalog/page/eventcatalog?search=ARC309","公式カタログ")</x:f>
        <x:v>HYPERLINK is not implemented. linkLocation=https://registration.awsevents.com/flow/awsevents/reinvent2026/eventcatalog/page/eventcatalog?search=ARC309, friendlyName=公式カタログ</x:v>
      </x:c>
    </x:row>
    <x:row r="24" ht="60" customHeight="1">
      <x:c r="A24" s="10" t="str">
        <x:v>ARC308</x:v>
      </x:c>
      <x:c r="B24" s="10" t="str">
        <x:v>ARC308</x:v>
      </x:c>
      <x:c r="C24" s="10" t="str">
        <x:v>Queue-based decoupling trade-offs for event-driven workloads (ARC308)</x:v>
      </x:c>
      <x:c r="D24" s="11" t="str">
        <x:v>未確認</x:v>
      </x:c>
      <x:c r="E24" s="13"/>
      <x:c r="F24" s="14"/>
      <x:c r="G24" s="14"/>
      <x:c r="H24" s="11" t="str"/>
      <x:c r="I24" s="11" t="str">
        <x:v>未確認</x:v>
      </x:c>
      <x:c r="J24" s="10" t="str">
        <x:v>Laptop required</x:v>
      </x:c>
      <x:c r="K24" s="11" t="str"/>
      <x:c r="L24" s="12" t="e">
        <x:f>HYPERLINK("https://registration.awsevents.com/flow/awsevents/reinvent2026/eventcatalog/page/eventcatalog?search=ARC308","公式カタログ")</x:f>
        <x:v>HYPERLINK is not implemented. linkLocation=https://registration.awsevents.com/flow/awsevents/reinvent2026/eventcatalog/page/eventcatalog?search=ARC308, friendlyName=公式カタログ</x:v>
      </x:c>
    </x:row>
    <x:row r="25" ht="60" customHeight="1">
      <x:c r="A25" s="10" t="str">
        <x:v>DAT430</x:v>
      </x:c>
      <x:c r="B25" s="10" t="str">
        <x:v>DAT430</x:v>
      </x:c>
      <x:c r="C25" s="10" t="str">
        <x:v>Build a multi-Region, active-active rewards app with Aurora DSQL (DAT430)</x:v>
      </x:c>
      <x:c r="D25" s="11" t="str">
        <x:v>未確認</x:v>
      </x:c>
      <x:c r="E25" s="13"/>
      <x:c r="F25" s="14"/>
      <x:c r="G25" s="14"/>
      <x:c r="H25" s="11" t="str"/>
      <x:c r="I25" s="11" t="str">
        <x:v>未確認</x:v>
      </x:c>
      <x:c r="J25" s="10" t="str">
        <x:v>Laptop required</x:v>
      </x:c>
      <x:c r="K25" s="11" t="str"/>
      <x:c r="L25" s="12" t="e">
        <x:f>HYPERLINK("https://registration.awsevents.com/flow/awsevents/reinvent2026/eventcatalog/page/eventcatalog?search=DAT430","公式カタログ")</x:f>
        <x:v>HYPERLINK is not implemented. linkLocation=https://registration.awsevents.com/flow/awsevents/reinvent2026/eventcatalog/page/eventcatalog?search=DAT430, friendlyName=公式カタログ</x:v>
      </x:c>
    </x:row>
    <x:row r="26" ht="60" customHeight="1">
      <x:c r="A26" s="10" t="str">
        <x:v>STG333</x:v>
      </x:c>
      <x:c r="B26" s="10" t="str">
        <x:v>STG333-R</x:v>
      </x:c>
      <x:c r="C26" s="10" t="str">
        <x:v>Accelerate database protection, recovery, and testing with Amazon EBS (STG333-R)</x:v>
      </x:c>
      <x:c r="D26" s="11" t="str">
        <x:v>未確認</x:v>
      </x:c>
      <x:c r="E26" s="13"/>
      <x:c r="F26" s="14"/>
      <x:c r="G26" s="14"/>
      <x:c r="H26" s="11" t="str"/>
      <x:c r="I26" s="11" t="str">
        <x:v>未確認</x:v>
      </x:c>
      <x:c r="J26" s="10" t="str">
        <x:v>Laptop required</x:v>
      </x:c>
      <x:c r="K26" s="11" t="str"/>
      <x:c r="L26" s="12" t="e">
        <x:f>HYPERLINK("https://registration.awsevents.com/flow/awsevents/reinvent2026/eventcatalog/page/eventcatalog?search=STG333-R","公式カタログ")</x:f>
        <x:v>HYPERLINK is not implemented. linkLocation=https://registration.awsevents.com/flow/awsevents/reinvent2026/eventcatalog/page/eventcatalog?search=STG333-R, friendlyName=公式カタログ</x:v>
      </x:c>
    </x:row>
    <x:row r="27" ht="60" customHeight="1">
      <x:c r="A27" s="10" t="str">
        <x:v>STG333</x:v>
      </x:c>
      <x:c r="B27" s="10" t="str">
        <x:v>STG333-R1</x:v>
      </x:c>
      <x:c r="C27" s="10" t="str">
        <x:v>Accelerate database protection, recovery, and testing with Amazon EBS (STG333-R1)</x:v>
      </x:c>
      <x:c r="D27" s="11" t="str">
        <x:v>未確認</x:v>
      </x:c>
      <x:c r="E27" s="13"/>
      <x:c r="F27" s="14"/>
      <x:c r="G27" s="14"/>
      <x:c r="H27" s="11" t="str"/>
      <x:c r="I27" s="11" t="str">
        <x:v>未確認</x:v>
      </x:c>
      <x:c r="J27" s="10" t="str">
        <x:v>Laptop required</x:v>
      </x:c>
      <x:c r="K27" s="11" t="str"/>
      <x:c r="L27" s="12" t="e">
        <x:f>HYPERLINK("https://registration.awsevents.com/flow/awsevents/reinvent2026/eventcatalog/page/eventcatalog?search=STG333-R1","公式カタログ")</x:f>
        <x:v>HYPERLINK is not implemented. linkLocation=https://registration.awsevents.com/flow/awsevents/reinvent2026/eventcatalog/page/eventcatalog?search=STG333-R1, friendlyName=公式カタログ</x:v>
      </x:c>
    </x:row>
    <x:row r="28" ht="60" customHeight="1">
      <x:c r="A28" s="10" t="str">
        <x:v>STG336</x:v>
      </x:c>
      <x:c r="B28" s="10" t="str">
        <x:v>STG336-R</x:v>
      </x:c>
      <x:c r="C28" s="10" t="str">
        <x:v>Amazon S3 security: Implementing access controls, policies &amp; audits (STG336-R)</x:v>
      </x:c>
      <x:c r="D28" s="11" t="str">
        <x:v>未確認</x:v>
      </x:c>
      <x:c r="E28" s="13"/>
      <x:c r="F28" s="14"/>
      <x:c r="G28" s="14"/>
      <x:c r="H28" s="11" t="str"/>
      <x:c r="I28" s="11" t="str">
        <x:v>未確認</x:v>
      </x:c>
      <x:c r="J28" s="10" t="str">
        <x:v>Laptop required</x:v>
      </x:c>
      <x:c r="K28" s="11" t="str"/>
      <x:c r="L28" s="12" t="e">
        <x:f>HYPERLINK("https://registration.awsevents.com/flow/awsevents/reinvent2026/eventcatalog/page/eventcatalog?search=STG336-R","公式カタログ")</x:f>
        <x:v>HYPERLINK is not implemented. linkLocation=https://registration.awsevents.com/flow/awsevents/reinvent2026/eventcatalog/page/eventcatalog?search=STG336-R, friendlyName=公式カタログ</x:v>
      </x:c>
    </x:row>
    <x:row r="29" ht="60" customHeight="1">
      <x:c r="A29" s="10" t="str">
        <x:v>STG336</x:v>
      </x:c>
      <x:c r="B29" s="10" t="str">
        <x:v>STG336-R1</x:v>
      </x:c>
      <x:c r="C29" s="10" t="str">
        <x:v>Amazon S3 security: Implementing access controls, policies &amp; audits (STG336-R1)</x:v>
      </x:c>
      <x:c r="D29" s="11" t="str">
        <x:v>未確認</x:v>
      </x:c>
      <x:c r="E29" s="13"/>
      <x:c r="F29" s="14"/>
      <x:c r="G29" s="14"/>
      <x:c r="H29" s="11" t="str"/>
      <x:c r="I29" s="11" t="str">
        <x:v>未確認</x:v>
      </x:c>
      <x:c r="J29" s="10" t="str">
        <x:v>Laptop required</x:v>
      </x:c>
      <x:c r="K29" s="11" t="str"/>
      <x:c r="L29" s="12" t="e">
        <x:f>HYPERLINK("https://registration.awsevents.com/flow/awsevents/reinvent2026/eventcatalog/page/eventcatalog?search=STG336-R1","公式カタログ")</x:f>
        <x:v>HYPERLINK is not implemented. linkLocation=https://registration.awsevents.com/flow/awsevents/reinvent2026/eventcatalog/page/eventcatalog?search=STG336-R1, friendlyName=公式カタログ</x:v>
      </x:c>
    </x:row>
    <x:row r="30" ht="60" customHeight="1">
      <x:c r="A30" s="10" t="str">
        <x:v>STG339</x:v>
      </x:c>
      <x:c r="B30" s="10" t="str">
        <x:v>STG339-R</x:v>
      </x:c>
      <x:c r="C30" s="10" t="str">
        <x:v>Protect, recover, validate: Data resiliency for AWS storage (STG339-R)</x:v>
      </x:c>
      <x:c r="D30" s="11" t="str">
        <x:v>未確認</x:v>
      </x:c>
      <x:c r="E30" s="13"/>
      <x:c r="F30" s="14"/>
      <x:c r="G30" s="14"/>
      <x:c r="H30" s="11" t="str"/>
      <x:c r="I30" s="11" t="str">
        <x:v>未確認</x:v>
      </x:c>
      <x:c r="J30" s="10" t="str">
        <x:v>Laptop required</x:v>
      </x:c>
      <x:c r="K30" s="11" t="str"/>
      <x:c r="L30" s="12" t="e">
        <x:f>HYPERLINK("https://registration.awsevents.com/flow/awsevents/reinvent2026/eventcatalog/page/eventcatalog?search=STG339-R","公式カタログ")</x:f>
        <x:v>HYPERLINK is not implemented. linkLocation=https://registration.awsevents.com/flow/awsevents/reinvent2026/eventcatalog/page/eventcatalog?search=STG339-R, friendlyName=公式カタログ</x:v>
      </x:c>
    </x:row>
    <x:row r="31" ht="60" customHeight="1">
      <x:c r="A31" s="10" t="str">
        <x:v>STG339</x:v>
      </x:c>
      <x:c r="B31" s="10" t="str">
        <x:v>STG339-R1</x:v>
      </x:c>
      <x:c r="C31" s="10" t="str">
        <x:v>Protect, recover, validate: Data resiliency for AWS storage (STG339-R1)</x:v>
      </x:c>
      <x:c r="D31" s="11" t="str">
        <x:v>未確認</x:v>
      </x:c>
      <x:c r="E31" s="13"/>
      <x:c r="F31" s="14"/>
      <x:c r="G31" s="14"/>
      <x:c r="H31" s="11" t="str"/>
      <x:c r="I31" s="11" t="str">
        <x:v>未確認</x:v>
      </x:c>
      <x:c r="J31" s="10" t="str">
        <x:v>Laptop required</x:v>
      </x:c>
      <x:c r="K31" s="11" t="str"/>
      <x:c r="L31" s="12" t="e">
        <x:f>HYPERLINK("https://registration.awsevents.com/flow/awsevents/reinvent2026/eventcatalog/page/eventcatalog?search=STG339-R1","公式カタログ")</x:f>
        <x:v>HYPERLINK is not implemented. linkLocation=https://registration.awsevents.com/flow/awsevents/reinvent2026/eventcatalog/page/eventcatalog?search=STG339-R1, friendlyName=公式カタログ</x:v>
      </x:c>
    </x:row>
    <x:row r="32" ht="60" customHeight="1">
      <x:c r="A32" s="10" t="str">
        <x:v>STG412</x:v>
      </x:c>
      <x:c r="B32" s="10" t="str">
        <x:v>STG412</x:v>
      </x:c>
      <x:c r="C32" s="10" t="str">
        <x:v>Find and fix storage bottlenecks for self-managed OLTP on EC2 with EBS (STG412)</x:v>
      </x:c>
      <x:c r="D32" s="11" t="str">
        <x:v>未確認</x:v>
      </x:c>
      <x:c r="E32" s="13"/>
      <x:c r="F32" s="14"/>
      <x:c r="G32" s="14"/>
      <x:c r="H32" s="11" t="str"/>
      <x:c r="I32" s="11" t="str">
        <x:v>未確認</x:v>
      </x:c>
      <x:c r="J32" s="10" t="str">
        <x:v>Laptop required</x:v>
      </x:c>
      <x:c r="K32" s="11" t="str"/>
      <x:c r="L32" s="12" t="e">
        <x:f>HYPERLINK("https://registration.awsevents.com/flow/awsevents/reinvent2026/eventcatalog/page/eventcatalog?search=STG412","公式カタログ")</x:f>
        <x:v>HYPERLINK is not implemented. linkLocation=https://registration.awsevents.com/flow/awsevents/reinvent2026/eventcatalog/page/eventcatalog?search=STG412, friendlyName=公式カタログ</x:v>
      </x:c>
    </x:row>
    <x:row r="33" ht="60" customHeight="1">
      <x:c r="A33" s="10" t="str">
        <x:v>SEC323</x:v>
      </x:c>
      <x:c r="B33" s="10" t="str">
        <x:v>SEC323-R</x:v>
      </x:c>
      <x:c r="C33" s="10" t="str">
        <x:v>Assume Breach, Prove Recovery: A ransomware resilience workshop (SEC323-R)</x:v>
      </x:c>
      <x:c r="D33" s="11" t="str">
        <x:v>未確認</x:v>
      </x:c>
      <x:c r="E33" s="13"/>
      <x:c r="F33" s="14"/>
      <x:c r="G33" s="14"/>
      <x:c r="H33" s="11" t="str"/>
      <x:c r="I33" s="11" t="str">
        <x:v>未確認</x:v>
      </x:c>
      <x:c r="J33" s="10" t="str">
        <x:v>Laptop required</x:v>
      </x:c>
      <x:c r="K33" s="11" t="str"/>
      <x:c r="L33" s="12" t="e">
        <x:f>HYPERLINK("https://registration.awsevents.com/flow/awsevents/reinvent2026/eventcatalog/page/eventcatalog?search=SEC323-R","公式カタログ")</x:f>
        <x:v>HYPERLINK is not implemented. linkLocation=https://registration.awsevents.com/flow/awsevents/reinvent2026/eventcatalog/page/eventcatalog?search=SEC323-R, friendlyName=公式カタログ</x:v>
      </x:c>
    </x:row>
    <x:row r="34" ht="60" customHeight="1">
      <x:c r="A34" s="10" t="str">
        <x:v>SEC323</x:v>
      </x:c>
      <x:c r="B34" s="10" t="str">
        <x:v>SEC323-R1</x:v>
      </x:c>
      <x:c r="C34" s="10" t="str">
        <x:v>Assume Breach, Prove Recovery: A ransomware resilience workshop (SEC323-R1)</x:v>
      </x:c>
      <x:c r="D34" s="11" t="str">
        <x:v>未確認</x:v>
      </x:c>
      <x:c r="E34" s="13"/>
      <x:c r="F34" s="14"/>
      <x:c r="G34" s="14"/>
      <x:c r="H34" s="11" t="str"/>
      <x:c r="I34" s="11" t="str">
        <x:v>未確認</x:v>
      </x:c>
      <x:c r="J34" s="10" t="str">
        <x:v>Laptop required</x:v>
      </x:c>
      <x:c r="K34" s="11" t="str"/>
      <x:c r="L34" s="12" t="e">
        <x:f>HYPERLINK("https://registration.awsevents.com/flow/awsevents/reinvent2026/eventcatalog/page/eventcatalog?search=SEC323-R1","公式カタログ")</x:f>
        <x:v>HYPERLINK is not implemented. linkLocation=https://registration.awsevents.com/flow/awsevents/reinvent2026/eventcatalog/page/eventcatalog?search=SEC323-R1, friendlyName=公式カタログ</x:v>
      </x:c>
    </x:row>
    <x:row r="35" ht="60" customHeight="1">
      <x:c r="A35" s="10" t="str">
        <x:v>SEC319</x:v>
      </x:c>
      <x:c r="B35" s="10" t="str">
        <x:v>SEC319-R</x:v>
      </x:c>
      <x:c r="C35" s="10" t="str">
        <x:v>Preventing unintended access: a practical guide to data perimeter controls (SEC319-R)</x:v>
      </x:c>
      <x:c r="D35" s="11" t="str">
        <x:v>未確認</x:v>
      </x:c>
      <x:c r="E35" s="13"/>
      <x:c r="F35" s="14"/>
      <x:c r="G35" s="14"/>
      <x:c r="H35" s="11" t="str"/>
      <x:c r="I35" s="11" t="str">
        <x:v>未確認</x:v>
      </x:c>
      <x:c r="J35" s="10" t="str">
        <x:v>Laptop required</x:v>
      </x:c>
      <x:c r="K35" s="11" t="str"/>
      <x:c r="L35" s="12" t="e">
        <x:f>HYPERLINK("https://registration.awsevents.com/flow/awsevents/reinvent2026/eventcatalog/page/eventcatalog?search=SEC319-R","公式カタログ")</x:f>
        <x:v>HYPERLINK is not implemented. linkLocation=https://registration.awsevents.com/flow/awsevents/reinvent2026/eventcatalog/page/eventcatalog?search=SEC319-R, friendlyName=公式カタログ</x:v>
      </x:c>
    </x:row>
    <x:row r="36" ht="60" customHeight="1">
      <x:c r="A36" s="10" t="str">
        <x:v>SEC319</x:v>
      </x:c>
      <x:c r="B36" s="10" t="str">
        <x:v>SEC319-R1</x:v>
      </x:c>
      <x:c r="C36" s="10" t="str">
        <x:v>Preventing unintended access: a practical guide to data perimeter controls (SEC319-R1)</x:v>
      </x:c>
      <x:c r="D36" s="11" t="str">
        <x:v>未確認</x:v>
      </x:c>
      <x:c r="E36" s="13"/>
      <x:c r="F36" s="14"/>
      <x:c r="G36" s="14"/>
      <x:c r="H36" s="11" t="str"/>
      <x:c r="I36" s="11" t="str">
        <x:v>未確認</x:v>
      </x:c>
      <x:c r="J36" s="10" t="str">
        <x:v>Laptop required</x:v>
      </x:c>
      <x:c r="K36" s="11" t="str"/>
      <x:c r="L36" s="12" t="e">
        <x:f>HYPERLINK("https://registration.awsevents.com/flow/awsevents/reinvent2026/eventcatalog/page/eventcatalog?search=SEC319-R1","公式カタログ")</x:f>
        <x:v>HYPERLINK is not implemented. linkLocation=https://registration.awsevents.com/flow/awsevents/reinvent2026/eventcatalog/page/eventcatalog?search=SEC319-R1, friendlyName=公式カタログ</x:v>
      </x:c>
    </x:row>
    <x:row r="37" ht="60" customHeight="1">
      <x:c r="A37" s="10" t="str">
        <x:v>GHJ305</x:v>
      </x:c>
      <x:c r="B37" s="10" t="str">
        <x:v>GHJ305</x:v>
      </x:c>
      <x:c r="C37" s="10" t="str">
        <x:v>AWS GameDay - Application Security &amp; AI-Powered Penetration Testing (GHJ305)</x:v>
      </x:c>
      <x:c r="D37" s="11" t="str">
        <x:v>未確認</x:v>
      </x:c>
      <x:c r="E37" s="13"/>
      <x:c r="F37" s="14"/>
      <x:c r="G37" s="14"/>
      <x:c r="H37" s="11" t="str"/>
      <x:c r="I37" s="11" t="str">
        <x:v>未確認</x:v>
      </x:c>
      <x:c r="J37" s="10" t="str">
        <x:v>Laptop required</x:v>
      </x:c>
      <x:c r="K37" s="11" t="str"/>
      <x:c r="L37" s="12" t="e">
        <x:f>HYPERLINK("https://registration.awsevents.com/flow/awsevents/reinvent2026/eventcatalog/page/eventcatalog?search=GHJ305","公式カタログ")</x:f>
        <x:v>HYPERLINK is not implemented. linkLocation=https://registration.awsevents.com/flow/awsevents/reinvent2026/eventcatalog/page/eventcatalog?search=GHJ305, friendlyName=公式カタログ</x:v>
      </x:c>
    </x:row>
    <x:row r="38" ht="60" customHeight="1">
      <x:c r="A38" s="10" t="str">
        <x:v>GHJ307-S</x:v>
      </x:c>
      <x:c r="B38" s="10" t="str">
        <x:v>GHJ307-S</x:v>
      </x:c>
      <x:c r="C38" s="10" t="str">
        <x:v>AWS GameDay - Cybersecurity &amp; Threat Detection ft. SentinelOne (GHJ307-S)</x:v>
      </x:c>
      <x:c r="D38" s="11" t="str">
        <x:v>未確認</x:v>
      </x:c>
      <x:c r="E38" s="13"/>
      <x:c r="F38" s="14"/>
      <x:c r="G38" s="14"/>
      <x:c r="H38" s="11" t="str"/>
      <x:c r="I38" s="11" t="str">
        <x:v>未確認</x:v>
      </x:c>
      <x:c r="J38" s="10" t="str">
        <x:v>Laptop required</x:v>
      </x:c>
      <x:c r="K38" s="11" t="str"/>
      <x:c r="L38" s="12" t="e">
        <x:f>HYPERLINK("https://registration.awsevents.com/flow/awsevents/reinvent2026/eventcatalog/page/eventcatalog?search=GHJ307-S","公式カタログ")</x:f>
        <x:v>HYPERLINK is not implemented. linkLocation=https://registration.awsevents.com/flow/awsevents/reinvent2026/eventcatalog/page/eventcatalog?search=GHJ307-S, friendlyName=公式カタログ</x:v>
      </x:c>
    </x:row>
    <x:row r="39" ht="60" customHeight="1">
      <x:c r="A39" s="10" t="str">
        <x:v>GHJ304-S</x:v>
      </x:c>
      <x:c r="B39" s="10" t="str">
        <x:v>GHJ304-S</x:v>
      </x:c>
      <x:c r="C39" s="10" t="str">
        <x:v>AWS GameDay - Platform Engineering &amp; Cloud-Native Architecture ft. Red Hat (GHJ304-S)</x:v>
      </x:c>
      <x:c r="D39" s="11" t="str">
        <x:v>未確認</x:v>
      </x:c>
      <x:c r="E39" s="13"/>
      <x:c r="F39" s="14"/>
      <x:c r="G39" s="14"/>
      <x:c r="H39" s="11" t="str"/>
      <x:c r="I39" s="11" t="str">
        <x:v>未確認</x:v>
      </x:c>
      <x:c r="J39" s="10" t="str">
        <x:v>Laptop required</x:v>
      </x:c>
      <x:c r="K39" s="11" t="str"/>
      <x:c r="L39" s="12" t="e">
        <x:f>HYPERLINK("https://registration.awsevents.com/flow/awsevents/reinvent2026/eventcatalog/page/eventcatalog?search=GHJ304-S","公式カタログ")</x:f>
        <x:v>HYPERLINK is not implemented. linkLocation=https://registration.awsevents.com/flow/awsevents/reinvent2026/eventcatalog/page/eventcatalog?search=GHJ304-S, friendlyName=公式カタログ</x:v>
      </x:c>
    </x:row>
    <x:row r="40" ht="60" customHeight="1">
      <x:c r="A40" s="10" t="str">
        <x:v>GHJ303-S</x:v>
      </x:c>
      <x:c r="B40" s="10" t="str">
        <x:v>GHJ303-S</x:v>
      </x:c>
      <x:c r="C40" s="10" t="str">
        <x:v>AWS GameDay - Developer Productivity &amp; DevOps ft. Dynatrace (GHJ303-S)</x:v>
      </x:c>
      <x:c r="D40" s="11" t="str">
        <x:v>未確認</x:v>
      </x:c>
      <x:c r="E40" s="13"/>
      <x:c r="F40" s="14"/>
      <x:c r="G40" s="14"/>
      <x:c r="H40" s="11" t="str"/>
      <x:c r="I40" s="11" t="str">
        <x:v>未確認</x:v>
      </x:c>
      <x:c r="J40" s="10" t="str">
        <x:v>Laptop required</x:v>
      </x:c>
      <x:c r="K40" s="11" t="str"/>
      <x:c r="L40" s="12" t="e">
        <x:f>HYPERLINK("https://registration.awsevents.com/flow/awsevents/reinvent2026/eventcatalog/page/eventcatalog?search=GHJ303-S","公式カタログ")</x:f>
        <x:v>HYPERLINK is not implemented. linkLocation=https://registration.awsevents.com/flow/awsevents/reinvent2026/eventcatalog/page/eventcatalog?search=GHJ303-S, friendlyName=公式カタログ</x:v>
      </x:c>
    </x:row>
    <x:row r="41" ht="60" customHeight="1">
      <x:c r="A41" s="10" t="str">
        <x:v>GHJ306-S</x:v>
      </x:c>
      <x:c r="B41" s="10" t="str">
        <x:v>GHJ306-S</x:v>
      </x:c>
      <x:c r="C41" s="10" t="str">
        <x:v>AWS GameDay - Service Reliability &amp; Agentic Remediation ft. Datadog (GHJ306-S)</x:v>
      </x:c>
      <x:c r="D41" s="11" t="str">
        <x:v>未確認</x:v>
      </x:c>
      <x:c r="E41" s="13"/>
      <x:c r="F41" s="14"/>
      <x:c r="G41" s="14"/>
      <x:c r="H41" s="11" t="str"/>
      <x:c r="I41" s="11" t="str">
        <x:v>未確認</x:v>
      </x:c>
      <x:c r="J41" s="10" t="str">
        <x:v>Laptop required</x:v>
      </x:c>
      <x:c r="K41" s="11" t="str"/>
      <x:c r="L41" s="12" t="e">
        <x:f>HYPERLINK("https://registration.awsevents.com/flow/awsevents/reinvent2026/eventcatalog/page/eventcatalog?search=GHJ306-S","公式カタログ")</x:f>
        <x:v>HYPERLINK is not implemented. linkLocation=https://registration.awsevents.com/flow/awsevents/reinvent2026/eventcatalog/page/eventcatalog?search=GHJ306-S, friendlyName=公式カタログ</x:v>
      </x:c>
    </x:row>
    <x:row r="42" ht="60" customHeight="1">
      <x:c r="A42" s="10" t="str">
        <x:v>GHJ311</x:v>
      </x:c>
      <x:c r="B42" s="10" t="str">
        <x:v>GHJ311</x:v>
      </x:c>
      <x:c r="C42" s="10" t="str">
        <x:v>AWS Jam: All-in Builder Showdown (GHJ311)</x:v>
      </x:c>
      <x:c r="D42" s="11" t="str">
        <x:v>未確認</x:v>
      </x:c>
      <x:c r="E42" s="13"/>
      <x:c r="F42" s="14"/>
      <x:c r="G42" s="14"/>
      <x:c r="H42" s="11" t="str"/>
      <x:c r="I42" s="11" t="str">
        <x:v>未確認</x:v>
      </x:c>
      <x:c r="J42" s="10" t="str">
        <x:v>Laptop required</x:v>
      </x:c>
      <x:c r="K42" s="11" t="str"/>
      <x:c r="L42" s="12" t="e">
        <x:f>HYPERLINK("https://registration.awsevents.com/flow/awsevents/reinvent2026/eventcatalog/page/eventcatalog?search=GHJ311","公式カタログ")</x:f>
        <x:v>HYPERLINK is not implemented. linkLocation=https://registration.awsevents.com/flow/awsevents/reinvent2026/eventcatalog/page/eventcatalog?search=GHJ311, friendlyName=公式カタログ</x:v>
      </x:c>
    </x:row>
    <x:row r="43" ht="60" customHeight="1">
      <x:c r="A43" s="10" t="str">
        <x:v>GHJ313-S</x:v>
      </x:c>
      <x:c r="B43" s="10" t="str">
        <x:v>GHJ313-S</x:v>
      </x:c>
      <x:c r="C43" s="10" t="str">
        <x:v>Security Jam - sponsored by Semgrep (GHJ313-S)</x:v>
      </x:c>
      <x:c r="D43" s="11" t="str">
        <x:v>未確認</x:v>
      </x:c>
      <x:c r="E43" s="13"/>
      <x:c r="F43" s="14"/>
      <x:c r="G43" s="14"/>
      <x:c r="H43" s="11" t="str"/>
      <x:c r="I43" s="11" t="str">
        <x:v>未確認</x:v>
      </x:c>
      <x:c r="J43" s="10" t="str">
        <x:v>Laptop required</x:v>
      </x:c>
      <x:c r="K43" s="11" t="str"/>
      <x:c r="L43" s="12" t="e">
        <x:f>HYPERLINK("https://registration.awsevents.com/flow/awsevents/reinvent2026/eventcatalog/page/eventcatalog?search=GHJ313-S","公式カタログ")</x:f>
        <x:v>HYPERLINK is not implemented. linkLocation=https://registration.awsevents.com/flow/awsevents/reinvent2026/eventcatalog/page/eventcatalog?search=GHJ313-S, friendlyName=公式カタログ</x:v>
      </x:c>
    </x:row>
    <x:row r="44" ht="60" customHeight="1">
      <x:c r="A44" s="10" t="str">
        <x:v>COP324</x:v>
      </x:c>
      <x:c r="B44" s="10" t="str">
        <x:v>COP324-R</x:v>
      </x:c>
      <x:c r="C44" s="10" t="str">
        <x:v>AI-Powered FinOps: Cloud Cost Optimization in Practice (COP324-R)</x:v>
      </x:c>
      <x:c r="D44" s="11" t="str">
        <x:v>未確認</x:v>
      </x:c>
      <x:c r="E44" s="13"/>
      <x:c r="F44" s="14"/>
      <x:c r="G44" s="14"/>
      <x:c r="H44" s="11" t="str"/>
      <x:c r="I44" s="11" t="str">
        <x:v>未確認</x:v>
      </x:c>
      <x:c r="J44" s="10" t="str">
        <x:v>Laptop required</x:v>
      </x:c>
      <x:c r="K44" s="11" t="str"/>
      <x:c r="L44" s="12" t="e">
        <x:f>HYPERLINK("https://registration.awsevents.com/flow/awsevents/reinvent2026/eventcatalog/page/eventcatalog?search=COP324-R","公式カタログ")</x:f>
        <x:v>HYPERLINK is not implemented. linkLocation=https://registration.awsevents.com/flow/awsevents/reinvent2026/eventcatalog/page/eventcatalog?search=COP324-R, friendlyName=公式カタログ</x:v>
      </x:c>
    </x:row>
    <x:row r="45" ht="60" customHeight="1">
      <x:c r="A45" s="10" t="str">
        <x:v>COP324</x:v>
      </x:c>
      <x:c r="B45" s="10" t="str">
        <x:v>COP324-R1</x:v>
      </x:c>
      <x:c r="C45" s="10" t="str">
        <x:v>AI-Powered FinOps: Cloud Cost Optimization in Practice (COP324-R1)</x:v>
      </x:c>
      <x:c r="D45" s="11" t="str">
        <x:v>未確認</x:v>
      </x:c>
      <x:c r="E45" s="13"/>
      <x:c r="F45" s="14"/>
      <x:c r="G45" s="14"/>
      <x:c r="H45" s="11" t="str"/>
      <x:c r="I45" s="11" t="str">
        <x:v>未確認</x:v>
      </x:c>
      <x:c r="J45" s="10" t="str">
        <x:v>Laptop required</x:v>
      </x:c>
      <x:c r="K45" s="11" t="str"/>
      <x:c r="L45" s="12" t="e">
        <x:f>HYPERLINK("https://registration.awsevents.com/flow/awsevents/reinvent2026/eventcatalog/page/eventcatalog?search=COP324-R1","公式カタログ")</x:f>
        <x:v>HYPERLINK is not implemented. linkLocation=https://registration.awsevents.com/flow/awsevents/reinvent2026/eventcatalog/page/eventcatalog?search=COP324-R1, friendlyName=公式カタログ</x:v>
      </x:c>
    </x:row>
    <x:row r="46" ht="60" customHeight="1">
      <x:c r="A46" s="10" t="str">
        <x:v>DVT311</x:v>
      </x:c>
      <x:c r="B46" s="10" t="str">
        <x:v>DVT311</x:v>
      </x:c>
      <x:c r="C46" s="10" t="str">
        <x:v>Deploy your applications with AWS Cloud Development Kit (AWS CDK) (DVT311)</x:v>
      </x:c>
      <x:c r="D46" s="11" t="str">
        <x:v>未確認</x:v>
      </x:c>
      <x:c r="E46" s="13"/>
      <x:c r="F46" s="14"/>
      <x:c r="G46" s="14"/>
      <x:c r="H46" s="11" t="str"/>
      <x:c r="I46" s="11" t="str">
        <x:v>未確認</x:v>
      </x:c>
      <x:c r="J46" s="10" t="str">
        <x:v>Laptop required</x:v>
      </x:c>
      <x:c r="K46" s="11" t="str"/>
      <x:c r="L46" s="12" t="e">
        <x:f>HYPERLINK("https://registration.awsevents.com/flow/awsevents/reinvent2026/eventcatalog/page/eventcatalog?search=DVT311","公式カタログ")</x:f>
        <x:v>HYPERLINK is not implemented. linkLocation=https://registration.awsevents.com/flow/awsevents/reinvent2026/eventcatalog/page/eventcatalog?search=DVT311, friendlyName=公式カタログ</x:v>
      </x:c>
    </x:row>
    <x:row r="47" ht="60" customHeight="1">
      <x:c r="A47" s="10" t="str">
        <x:v>SEC361</x:v>
      </x:c>
      <x:c r="B47" s="10" t="str">
        <x:v>SEC361</x:v>
      </x:c>
      <x:c r="C47" s="10" t="str">
        <x:v>Closing the compliance loop when agents change your infrastructure (SEC361)</x:v>
      </x:c>
      <x:c r="D47" s="11" t="str">
        <x:v>未確認</x:v>
      </x:c>
      <x:c r="E47" s="13"/>
      <x:c r="F47" s="14"/>
      <x:c r="G47" s="14"/>
      <x:c r="H47" s="11" t="str"/>
      <x:c r="I47" s="11" t="str">
        <x:v>未確認</x:v>
      </x:c>
      <x:c r="J47" s="10" t="str">
        <x:v>Laptop required</x:v>
      </x:c>
      <x:c r="K47" s="11" t="str"/>
      <x:c r="L47" s="12" t="e">
        <x:f>HYPERLINK("https://registration.awsevents.com/flow/awsevents/reinvent2026/eventcatalog/page/eventcatalog?search=SEC361","公式カタログ")</x:f>
        <x:v>HYPERLINK is not implemented. linkLocation=https://registration.awsevents.com/flow/awsevents/reinvent2026/eventcatalog/page/eventcatalog?search=SEC361, friendlyName=公式カタログ</x:v>
      </x:c>
    </x:row>
    <x:row r="48" ht="60" customHeight="1">
      <x:c r="A48" s="10" t="str">
        <x:v>SEC348</x:v>
      </x:c>
      <x:c r="B48" s="10" t="str">
        <x:v>SEC348</x:v>
      </x:c>
      <x:c r="C48" s="10" t="str">
        <x:v>Policy to Proof: govern deployments at machine speed (SEC348)</x:v>
      </x:c>
      <x:c r="D48" s="11" t="str">
        <x:v>未確認</x:v>
      </x:c>
      <x:c r="E48" s="13"/>
      <x:c r="F48" s="14"/>
      <x:c r="G48" s="14"/>
      <x:c r="H48" s="11" t="str"/>
      <x:c r="I48" s="11" t="str">
        <x:v>未確認</x:v>
      </x:c>
      <x:c r="J48" s="10" t="str">
        <x:v>Laptop required</x:v>
      </x:c>
      <x:c r="K48" s="11" t="str"/>
      <x:c r="L48" s="12" t="e">
        <x:f>HYPERLINK("https://registration.awsevents.com/flow/awsevents/reinvent2026/eventcatalog/page/eventcatalog?search=SEC348","公式カタログ")</x:f>
        <x:v>HYPERLINK is not implemented. linkLocation=https://registration.awsevents.com/flow/awsevents/reinvent2026/eventcatalog/page/eventcatalog?search=SEC348, friendlyName=公式カタログ</x:v>
      </x:c>
    </x:row>
    <x:row r="49" ht="60" customHeight="1">
      <x:c r="A49" s="10" t="str">
        <x:v>COP312</x:v>
      </x:c>
      <x:c r="B49" s="10" t="str">
        <x:v>COP312-R</x:v>
      </x:c>
      <x:c r="C49" s="10" t="str">
        <x:v>Embed FinOps into your CI/CD pipelines (COP312-R)</x:v>
      </x:c>
      <x:c r="D49" s="11" t="str">
        <x:v>未確認</x:v>
      </x:c>
      <x:c r="E49" s="13"/>
      <x:c r="F49" s="14"/>
      <x:c r="G49" s="14"/>
      <x:c r="H49" s="11" t="str"/>
      <x:c r="I49" s="11" t="str">
        <x:v>未確認</x:v>
      </x:c>
      <x:c r="J49" s="10" t="str">
        <x:v>Laptop required</x:v>
      </x:c>
      <x:c r="K49" s="11" t="str"/>
      <x:c r="L49" s="12" t="e">
        <x:f>HYPERLINK("https://registration.awsevents.com/flow/awsevents/reinvent2026/eventcatalog/page/eventcatalog?search=COP312-R","公式カタログ")</x:f>
        <x:v>HYPERLINK is not implemented. linkLocation=https://registration.awsevents.com/flow/awsevents/reinvent2026/eventcatalog/page/eventcatalog?search=COP312-R, friendlyName=公式カタログ</x:v>
      </x:c>
    </x:row>
    <x:row r="50" ht="60" customHeight="1">
      <x:c r="A50" s="10" t="str">
        <x:v>COP312</x:v>
      </x:c>
      <x:c r="B50" s="10" t="str">
        <x:v>COP312-R1</x:v>
      </x:c>
      <x:c r="C50" s="10" t="str">
        <x:v>Embed FinOps into your CI/CD pipelines (COP312-R1)</x:v>
      </x:c>
      <x:c r="D50" s="11" t="str">
        <x:v>未確認</x:v>
      </x:c>
      <x:c r="E50" s="13"/>
      <x:c r="F50" s="14"/>
      <x:c r="G50" s="14"/>
      <x:c r="H50" s="11" t="str"/>
      <x:c r="I50" s="11" t="str">
        <x:v>未確認</x:v>
      </x:c>
      <x:c r="J50" s="10" t="str">
        <x:v>Laptop required</x:v>
      </x:c>
      <x:c r="K50" s="11" t="str"/>
      <x:c r="L50" s="12" t="e">
        <x:f>HYPERLINK("https://registration.awsevents.com/flow/awsevents/reinvent2026/eventcatalog/page/eventcatalog?search=COP312-R1","公式カタログ")</x:f>
        <x:v>HYPERLINK is not implemented. linkLocation=https://registration.awsevents.com/flow/awsevents/reinvent2026/eventcatalog/page/eventcatalog?search=COP312-R1, friendlyName=公式カタログ</x:v>
      </x:c>
    </x:row>
    <x:row r="51" ht="60" customHeight="1">
      <x:c r="A51" s="10" t="str">
        <x:v>NET203</x:v>
      </x:c>
      <x:c r="B51" s="10" t="str">
        <x:v>NET203-R</x:v>
      </x:c>
      <x:c r="C51" s="10" t="str">
        <x:v>Resolve it all: Build hybrid DNS architectures on AWS (NET203-R)</x:v>
      </x:c>
      <x:c r="D51" s="11" t="str">
        <x:v>未確認</x:v>
      </x:c>
      <x:c r="E51" s="13"/>
      <x:c r="F51" s="14"/>
      <x:c r="G51" s="14"/>
      <x:c r="H51" s="11" t="str"/>
      <x:c r="I51" s="11" t="str">
        <x:v>未確認</x:v>
      </x:c>
      <x:c r="J51" s="10" t="str">
        <x:v>Laptop required</x:v>
      </x:c>
      <x:c r="K51" s="11" t="str"/>
      <x:c r="L51" s="12" t="e">
        <x:f>HYPERLINK("https://registration.awsevents.com/flow/awsevents/reinvent2026/eventcatalog/page/eventcatalog?search=NET203-R","公式カタログ")</x:f>
        <x:v>HYPERLINK is not implemented. linkLocation=https://registration.awsevents.com/flow/awsevents/reinvent2026/eventcatalog/page/eventcatalog?search=NET203-R, friendlyName=公式カタログ</x:v>
      </x:c>
    </x:row>
    <x:row r="52" ht="60" customHeight="1">
      <x:c r="A52" s="10" t="str">
        <x:v>NET203</x:v>
      </x:c>
      <x:c r="B52" s="10" t="str">
        <x:v>NET203-R1</x:v>
      </x:c>
      <x:c r="C52" s="10" t="str">
        <x:v>Resolve it all: Build hybrid DNS architectures on AWS (NET203-R1)</x:v>
      </x:c>
      <x:c r="D52" s="11" t="str">
        <x:v>未確認</x:v>
      </x:c>
      <x:c r="E52" s="13"/>
      <x:c r="F52" s="14"/>
      <x:c r="G52" s="14"/>
      <x:c r="H52" s="11" t="str"/>
      <x:c r="I52" s="11" t="str">
        <x:v>未確認</x:v>
      </x:c>
      <x:c r="J52" s="10" t="str">
        <x:v>Laptop required</x:v>
      </x:c>
      <x:c r="K52" s="11" t="str"/>
      <x:c r="L52" s="12" t="e">
        <x:f>HYPERLINK("https://registration.awsevents.com/flow/awsevents/reinvent2026/eventcatalog/page/eventcatalog?search=NET203-R1","公式カタログ")</x:f>
        <x:v>HYPERLINK is not implemented. linkLocation=https://registration.awsevents.com/flow/awsevents/reinvent2026/eventcatalog/page/eventcatalog?search=NET203-R1, friendlyName=公式カタログ</x:v>
      </x:c>
    </x:row>
    <x:row r="53" ht="60" customHeight="1">
      <x:c r="A53" s="10" t="str">
        <x:v>NET202</x:v>
      </x:c>
      <x:c r="B53" s="10" t="str">
        <x:v>NET202-R</x:v>
      </x:c>
      <x:c r="C53" s="10" t="str">
        <x:v>Your network, your rules: Global routing policies with AWS Cloud WAN (NET202-R)</x:v>
      </x:c>
      <x:c r="D53" s="11" t="str">
        <x:v>未確認</x:v>
      </x:c>
      <x:c r="E53" s="13"/>
      <x:c r="F53" s="14"/>
      <x:c r="G53" s="14"/>
      <x:c r="H53" s="11" t="str"/>
      <x:c r="I53" s="11" t="str">
        <x:v>未確認</x:v>
      </x:c>
      <x:c r="J53" s="10" t="str">
        <x:v>Laptop required</x:v>
      </x:c>
      <x:c r="K53" s="11" t="str"/>
      <x:c r="L53" s="12" t="e">
        <x:f>HYPERLINK("https://registration.awsevents.com/flow/awsevents/reinvent2026/eventcatalog/page/eventcatalog?search=NET202-R","公式カタログ")</x:f>
        <x:v>HYPERLINK is not implemented. linkLocation=https://registration.awsevents.com/flow/awsevents/reinvent2026/eventcatalog/page/eventcatalog?search=NET202-R, friendlyName=公式カタログ</x:v>
      </x:c>
    </x:row>
    <x:row r="54" ht="60" customHeight="1">
      <x:c r="A54" s="10" t="str">
        <x:v>NET202</x:v>
      </x:c>
      <x:c r="B54" s="10" t="str">
        <x:v>NET202-R1</x:v>
      </x:c>
      <x:c r="C54" s="10" t="str">
        <x:v>Your network, your rules: Global routing policies with AWS Cloud WAN (NET202-R1)</x:v>
      </x:c>
      <x:c r="D54" s="11" t="str">
        <x:v>未確認</x:v>
      </x:c>
      <x:c r="E54" s="13"/>
      <x:c r="F54" s="14"/>
      <x:c r="G54" s="14"/>
      <x:c r="H54" s="11" t="str"/>
      <x:c r="I54" s="11" t="str">
        <x:v>未確認</x:v>
      </x:c>
      <x:c r="J54" s="10" t="str">
        <x:v>Laptop required</x:v>
      </x:c>
      <x:c r="K54" s="11" t="str"/>
      <x:c r="L54" s="12" t="e">
        <x:f>HYPERLINK("https://registration.awsevents.com/flow/awsevents/reinvent2026/eventcatalog/page/eventcatalog?search=NET202-R1","公式カタログ")</x:f>
        <x:v>HYPERLINK is not implemented. linkLocation=https://registration.awsevents.com/flow/awsevents/reinvent2026/eventcatalog/page/eventcatalog?search=NET202-R1, friendlyName=公式カタログ</x:v>
      </x:c>
    </x:row>
    <x:row r="55" ht="60" customHeight="1">
      <x:c r="A55" s="10" t="str">
        <x:v>NET204</x:v>
      </x:c>
      <x:c r="B55" s="10" t="str">
        <x:v>NET204-R</x:v>
      </x:c>
      <x:c r="C55" s="10" t="str">
        <x:v>Centralize AWS PrivateLink endpoints at scale with Amazon VPC Lattice (NET204-R)</x:v>
      </x:c>
      <x:c r="D55" s="11" t="str">
        <x:v>未確認</x:v>
      </x:c>
      <x:c r="E55" s="13"/>
      <x:c r="F55" s="14"/>
      <x:c r="G55" s="14"/>
      <x:c r="H55" s="11" t="str"/>
      <x:c r="I55" s="11" t="str">
        <x:v>未確認</x:v>
      </x:c>
      <x:c r="J55" s="10" t="str">
        <x:v>Laptop required</x:v>
      </x:c>
      <x:c r="K55" s="11" t="str"/>
      <x:c r="L55" s="12" t="e">
        <x:f>HYPERLINK("https://registration.awsevents.com/flow/awsevents/reinvent2026/eventcatalog/page/eventcatalog?search=NET204-R","公式カタログ")</x:f>
        <x:v>HYPERLINK is not implemented. linkLocation=https://registration.awsevents.com/flow/awsevents/reinvent2026/eventcatalog/page/eventcatalog?search=NET204-R, friendlyName=公式カタログ</x:v>
      </x:c>
    </x:row>
    <x:row r="56" ht="60" customHeight="1">
      <x:c r="A56" s="10" t="str">
        <x:v>NET204</x:v>
      </x:c>
      <x:c r="B56" s="10" t="str">
        <x:v>NET204-R1</x:v>
      </x:c>
      <x:c r="C56" s="10" t="str">
        <x:v>Centralize AWS PrivateLink endpoints at scale with Amazon VPC Lattice (NET204-R1)</x:v>
      </x:c>
      <x:c r="D56" s="11" t="str">
        <x:v>未確認</x:v>
      </x:c>
      <x:c r="E56" s="13"/>
      <x:c r="F56" s="14"/>
      <x:c r="G56" s="14"/>
      <x:c r="H56" s="11" t="str"/>
      <x:c r="I56" s="11" t="str">
        <x:v>未確認</x:v>
      </x:c>
      <x:c r="J56" s="10" t="str">
        <x:v>Laptop required</x:v>
      </x:c>
      <x:c r="K56" s="11" t="str"/>
      <x:c r="L56" s="12" t="e">
        <x:f>HYPERLINK("https://registration.awsevents.com/flow/awsevents/reinvent2026/eventcatalog/page/eventcatalog?search=NET204-R1","公式カタログ")</x:f>
        <x:v>HYPERLINK is not implemented. linkLocation=https://registration.awsevents.com/flow/awsevents/reinvent2026/eventcatalog/page/eventcatalog?search=NET204-R1, friendlyName=公式カタログ</x:v>
      </x:c>
    </x:row>
    <x:row r="57" ht="60" customHeight="1">
      <x:c r="A57" s="10" t="str">
        <x:v>DAT415</x:v>
      </x:c>
      <x:c r="B57" s="10" t="str">
        <x:v>DAT415-R</x:v>
      </x:c>
      <x:c r="C57" s="10" t="str">
        <x:v>Financial data modeling with Amazon DynamoDB (DAT415-R)</x:v>
      </x:c>
      <x:c r="D57" s="11" t="str">
        <x:v>未確認</x:v>
      </x:c>
      <x:c r="E57" s="13"/>
      <x:c r="F57" s="14"/>
      <x:c r="G57" s="14"/>
      <x:c r="H57" s="11" t="str"/>
      <x:c r="I57" s="11" t="str">
        <x:v>未確認</x:v>
      </x:c>
      <x:c r="J57" s="10" t="str">
        <x:v>Laptop required</x:v>
      </x:c>
      <x:c r="K57" s="11" t="str"/>
      <x:c r="L57" s="12" t="e">
        <x:f>HYPERLINK("https://registration.awsevents.com/flow/awsevents/reinvent2026/eventcatalog/page/eventcatalog?search=DAT415-R","公式カタログ")</x:f>
        <x:v>HYPERLINK is not implemented. linkLocation=https://registration.awsevents.com/flow/awsevents/reinvent2026/eventcatalog/page/eventcatalog?search=DAT415-R, friendlyName=公式カタログ</x:v>
      </x:c>
    </x:row>
    <x:row r="58" ht="60" customHeight="1">
      <x:c r="A58" s="10" t="str">
        <x:v>DAT415</x:v>
      </x:c>
      <x:c r="B58" s="10" t="str">
        <x:v>DAT415-R1</x:v>
      </x:c>
      <x:c r="C58" s="10" t="str">
        <x:v>Financial data modeling with Amazon DynamoDB (DAT415-R1)</x:v>
      </x:c>
      <x:c r="D58" s="11" t="str">
        <x:v>未確認</x:v>
      </x:c>
      <x:c r="E58" s="13"/>
      <x:c r="F58" s="14"/>
      <x:c r="G58" s="14"/>
      <x:c r="H58" s="11" t="str"/>
      <x:c r="I58" s="11" t="str">
        <x:v>未確認</x:v>
      </x:c>
      <x:c r="J58" s="10" t="str">
        <x:v>Laptop required</x:v>
      </x:c>
      <x:c r="K58" s="11" t="str"/>
      <x:c r="L58" s="12" t="e">
        <x:f>HYPERLINK("https://registration.awsevents.com/flow/awsevents/reinvent2026/eventcatalog/page/eventcatalog?search=DAT415-R1","公式カタログ")</x:f>
        <x:v>HYPERLINK is not implemented. linkLocation=https://registration.awsevents.com/flow/awsevents/reinvent2026/eventcatalog/page/eventcatalog?search=DAT415-R1, friendlyName=公式カタログ</x:v>
      </x:c>
    </x:row>
    <x:row r="59" ht="60" customHeight="1">
      <x:c r="A59" s="10" t="str">
        <x:v>DAT431</x:v>
      </x:c>
      <x:c r="B59" s="10" t="str">
        <x:v>DAT431-R</x:v>
      </x:c>
      <x:c r="C59" s="10" t="str">
        <x:v>AI-assisted data modeling for Amazon DynamoDB (DAT431-R)</x:v>
      </x:c>
      <x:c r="D59" s="11" t="str">
        <x:v>未確認</x:v>
      </x:c>
      <x:c r="E59" s="13"/>
      <x:c r="F59" s="14"/>
      <x:c r="G59" s="14"/>
      <x:c r="H59" s="11" t="str"/>
      <x:c r="I59" s="11" t="str">
        <x:v>未確認</x:v>
      </x:c>
      <x:c r="J59" s="10" t="str">
        <x:v>Laptop required</x:v>
      </x:c>
      <x:c r="K59" s="11" t="str"/>
      <x:c r="L59" s="12" t="e">
        <x:f>HYPERLINK("https://registration.awsevents.com/flow/awsevents/reinvent2026/eventcatalog/page/eventcatalog?search=DAT431-R","公式カタログ")</x:f>
        <x:v>HYPERLINK is not implemented. linkLocation=https://registration.awsevents.com/flow/awsevents/reinvent2026/eventcatalog/page/eventcatalog?search=DAT431-R, friendlyName=公式カタログ</x:v>
      </x:c>
    </x:row>
    <x:row r="60" ht="60" customHeight="1">
      <x:c r="A60" s="10" t="str">
        <x:v>DAT431</x:v>
      </x:c>
      <x:c r="B60" s="10" t="str">
        <x:v>DAT431-R1</x:v>
      </x:c>
      <x:c r="C60" s="10" t="str">
        <x:v>AI-assisted data modeling for Amazon DynamoDB (DAT431-R1)</x:v>
      </x:c>
      <x:c r="D60" s="11" t="str">
        <x:v>未確認</x:v>
      </x:c>
      <x:c r="E60" s="13"/>
      <x:c r="F60" s="14"/>
      <x:c r="G60" s="14"/>
      <x:c r="H60" s="11" t="str"/>
      <x:c r="I60" s="11" t="str">
        <x:v>未確認</x:v>
      </x:c>
      <x:c r="J60" s="10" t="str">
        <x:v>Laptop required</x:v>
      </x:c>
      <x:c r="K60" s="11" t="str"/>
      <x:c r="L60" s="12" t="e">
        <x:f>HYPERLINK("https://registration.awsevents.com/flow/awsevents/reinvent2026/eventcatalog/page/eventcatalog?search=DAT431-R1","公式カタログ")</x:f>
        <x:v>HYPERLINK is not implemented. linkLocation=https://registration.awsevents.com/flow/awsevents/reinvent2026/eventcatalog/page/eventcatalog?search=DAT431-R1, friendlyName=公式カタログ</x:v>
      </x:c>
    </x:row>
    <x:row r="61" ht="60" customHeight="1">
      <x:c r="A61" s="10" t="str">
        <x:v>DAT431</x:v>
      </x:c>
      <x:c r="B61" s="10" t="str">
        <x:v>DAT431-R2</x:v>
      </x:c>
      <x:c r="C61" s="10" t="str">
        <x:v>AI-assisted data modeling for Amazon DynamoDB (DAT431-R2)</x:v>
      </x:c>
      <x:c r="D61" s="11" t="str">
        <x:v>未確認</x:v>
      </x:c>
      <x:c r="E61" s="13"/>
      <x:c r="F61" s="14"/>
      <x:c r="G61" s="14"/>
      <x:c r="H61" s="11" t="str"/>
      <x:c r="I61" s="11" t="str">
        <x:v>未確認</x:v>
      </x:c>
      <x:c r="J61" s="10" t="str">
        <x:v>Laptop required</x:v>
      </x:c>
      <x:c r="K61" s="11" t="str"/>
      <x:c r="L61" s="12" t="e">
        <x:f>HYPERLINK("https://registration.awsevents.com/flow/awsevents/reinvent2026/eventcatalog/page/eventcatalog?search=DAT431-R2","公式カタログ")</x:f>
        <x:v>HYPERLINK is not implemented. linkLocation=https://registration.awsevents.com/flow/awsevents/reinvent2026/eventcatalog/page/eventcatalog?search=DAT431-R2, friendlyName=公式カタログ</x:v>
      </x:c>
    </x:row>
    <x:row r="62" ht="60" customHeight="1">
      <x:c r="A62" s="10" t="str">
        <x:v>DAT428</x:v>
      </x:c>
      <x:c r="B62" s="10" t="str">
        <x:v>DAT428</x:v>
      </x:c>
      <x:c r="C62" s="10" t="str">
        <x:v>Build governed remediation workflows for Aurora database operations (DAT428)</x:v>
      </x:c>
      <x:c r="D62" s="11" t="str">
        <x:v>未確認</x:v>
      </x:c>
      <x:c r="E62" s="13"/>
      <x:c r="F62" s="14"/>
      <x:c r="G62" s="14"/>
      <x:c r="H62" s="11" t="str"/>
      <x:c r="I62" s="11" t="str">
        <x:v>未確認</x:v>
      </x:c>
      <x:c r="J62" s="10" t="str">
        <x:v>Laptop required</x:v>
      </x:c>
      <x:c r="K62" s="11" t="str"/>
      <x:c r="L62" s="12" t="e">
        <x:f>HYPERLINK("https://registration.awsevents.com/flow/awsevents/reinvent2026/eventcatalog/page/eventcatalog?search=DAT428","公式カタログ")</x:f>
        <x:v>HYPERLINK is not implemented. linkLocation=https://registration.awsevents.com/flow/awsevents/reinvent2026/eventcatalog/page/eventcatalog?search=DAT428, friendlyName=公式カタログ</x:v>
      </x:c>
    </x:row>
    <x:row r="63" ht="60" customHeight="1">
      <x:c r="A63" s="10" t="str">
        <x:v>COP322</x:v>
      </x:c>
      <x:c r="B63" s="10" t="str">
        <x:v>COP322-R</x:v>
      </x:c>
      <x:c r="C63" s="10" t="str">
        <x:v>Where's the slowdown? Build observability from frontend to databases (COP322-R)</x:v>
      </x:c>
      <x:c r="D63" s="11" t="str">
        <x:v>未確認</x:v>
      </x:c>
      <x:c r="E63" s="13"/>
      <x:c r="F63" s="14"/>
      <x:c r="G63" s="14"/>
      <x:c r="H63" s="11" t="str"/>
      <x:c r="I63" s="11" t="str">
        <x:v>未確認</x:v>
      </x:c>
      <x:c r="J63" s="10" t="str">
        <x:v>Laptop required</x:v>
      </x:c>
      <x:c r="K63" s="11" t="str"/>
      <x:c r="L63" s="12" t="e">
        <x:f>HYPERLINK("https://registration.awsevents.com/flow/awsevents/reinvent2026/eventcatalog/page/eventcatalog?search=COP322-R","公式カタログ")</x:f>
        <x:v>HYPERLINK is not implemented. linkLocation=https://registration.awsevents.com/flow/awsevents/reinvent2026/eventcatalog/page/eventcatalog?search=COP322-R, friendlyName=公式カタログ</x:v>
      </x:c>
    </x:row>
    <x:row r="64" ht="60" customHeight="1">
      <x:c r="A64" s="10" t="str">
        <x:v>COP322</x:v>
      </x:c>
      <x:c r="B64" s="10" t="str">
        <x:v>COP322-R1</x:v>
      </x:c>
      <x:c r="C64" s="10" t="str">
        <x:v>Where's the slowdown? Build observability from frontend to databases (COP322-R1)</x:v>
      </x:c>
      <x:c r="D64" s="11" t="str">
        <x:v>未確認</x:v>
      </x:c>
      <x:c r="E64" s="13"/>
      <x:c r="F64" s="14"/>
      <x:c r="G64" s="14"/>
      <x:c r="H64" s="11" t="str"/>
      <x:c r="I64" s="11" t="str">
        <x:v>未確認</x:v>
      </x:c>
      <x:c r="J64" s="10" t="str">
        <x:v>Laptop required</x:v>
      </x:c>
      <x:c r="K64" s="11" t="str"/>
      <x:c r="L64" s="12" t="e">
        <x:f>HYPERLINK("https://registration.awsevents.com/flow/awsevents/reinvent2026/eventcatalog/page/eventcatalog?search=COP322-R1","公式カタログ")</x:f>
        <x:v>HYPERLINK is not implemented. linkLocation=https://registration.awsevents.com/flow/awsevents/reinvent2026/eventcatalog/page/eventcatalog?search=COP322-R1, friendlyName=公式カタログ</x:v>
      </x:c>
    </x:row>
    <x:row r="65" ht="60" customHeight="1">
      <x:c r="A65" s="10" t="str">
        <x:v>STG410</x:v>
      </x:c>
      <x:c r="B65" s="10" t="str">
        <x:v>STG410-R</x:v>
      </x:c>
      <x:c r="C65" s="10" t="str">
        <x:v>Build ransomware recovery with AWS Backup air-gapped vaults (STG410-R)</x:v>
      </x:c>
      <x:c r="D65" s="11" t="str">
        <x:v>未確認</x:v>
      </x:c>
      <x:c r="E65" s="13"/>
      <x:c r="F65" s="14"/>
      <x:c r="G65" s="14"/>
      <x:c r="H65" s="11" t="str"/>
      <x:c r="I65" s="11" t="str">
        <x:v>未確認</x:v>
      </x:c>
      <x:c r="J65" s="10" t="str">
        <x:v>Laptop required</x:v>
      </x:c>
      <x:c r="K65" s="11" t="str"/>
      <x:c r="L65" s="12" t="e">
        <x:f>HYPERLINK("https://registration.awsevents.com/flow/awsevents/reinvent2026/eventcatalog/page/eventcatalog?search=STG410-R","公式カタログ")</x:f>
        <x:v>HYPERLINK is not implemented. linkLocation=https://registration.awsevents.com/flow/awsevents/reinvent2026/eventcatalog/page/eventcatalog?search=STG410-R, friendlyName=公式カタログ</x:v>
      </x:c>
    </x:row>
    <x:row r="66" ht="60" customHeight="1">
      <x:c r="A66" s="10" t="str">
        <x:v>STG410</x:v>
      </x:c>
      <x:c r="B66" s="10" t="str">
        <x:v>STG410-R1</x:v>
      </x:c>
      <x:c r="C66" s="10" t="str">
        <x:v>Build ransomware recovery with AWS Backup air-gapped vaults (STG410-R1)</x:v>
      </x:c>
      <x:c r="D66" s="11" t="str">
        <x:v>未確認</x:v>
      </x:c>
      <x:c r="E66" s="13"/>
      <x:c r="F66" s="14"/>
      <x:c r="G66" s="14"/>
      <x:c r="H66" s="11" t="str"/>
      <x:c r="I66" s="11" t="str">
        <x:v>未確認</x:v>
      </x:c>
      <x:c r="J66" s="10" t="str">
        <x:v>Laptop required</x:v>
      </x:c>
      <x:c r="K66" s="11" t="str"/>
      <x:c r="L66" s="12" t="e">
        <x:f>HYPERLINK("https://registration.awsevents.com/flow/awsevents/reinvent2026/eventcatalog/page/eventcatalog?search=STG410-R1","公式カタログ")</x:f>
        <x:v>HYPERLINK is not implemented. linkLocation=https://registration.awsevents.com/flow/awsevents/reinvent2026/eventcatalog/page/eventcatalog?search=STG410-R1, friendlyName=公式カタログ</x:v>
      </x:c>
    </x:row>
    <x:row r="67" ht="60" customHeight="1">
      <x:c r="A67" s="10" t="str">
        <x:v>STG408</x:v>
      </x:c>
      <x:c r="B67" s="10" t="str">
        <x:v>STG408</x:v>
      </x:c>
      <x:c r="C67" s="10" t="str">
        <x:v>Deploying mission-critical applications with Amazon EBS (STG408)</x:v>
      </x:c>
      <x:c r="D67" s="11" t="str">
        <x:v>未確認</x:v>
      </x:c>
      <x:c r="E67" s="13"/>
      <x:c r="F67" s="14"/>
      <x:c r="G67" s="14"/>
      <x:c r="H67" s="11" t="str"/>
      <x:c r="I67" s="11" t="str">
        <x:v>未確認</x:v>
      </x:c>
      <x:c r="J67" s="10" t="str">
        <x:v>Laptop required</x:v>
      </x:c>
      <x:c r="K67" s="11" t="str"/>
      <x:c r="L67" s="12" t="e">
        <x:f>HYPERLINK("https://registration.awsevents.com/flow/awsevents/reinvent2026/eventcatalog/page/eventcatalog?search=STG408","公式カタログ")</x:f>
        <x:v>HYPERLINK is not implemented. linkLocation=https://registration.awsevents.com/flow/awsevents/reinvent2026/eventcatalog/page/eventcatalog?search=STG408, friendlyName=公式カタログ</x:v>
      </x:c>
    </x:row>
    <x:row r="68" ht="60" customHeight="1">
      <x:c r="A68" s="10" t="str">
        <x:v>STG331</x:v>
      </x:c>
      <x:c r="B68" s="10" t="str">
        <x:v>STG331-R</x:v>
      </x:c>
      <x:c r="C68" s="10" t="str">
        <x:v>Build a fully managed data lake with Amazon S3 Tables (STG331-R)</x:v>
      </x:c>
      <x:c r="D68" s="11" t="str">
        <x:v>未確認</x:v>
      </x:c>
      <x:c r="E68" s="13"/>
      <x:c r="F68" s="14"/>
      <x:c r="G68" s="14"/>
      <x:c r="H68" s="11" t="str"/>
      <x:c r="I68" s="11" t="str">
        <x:v>未確認</x:v>
      </x:c>
      <x:c r="J68" s="10" t="str">
        <x:v>Laptop required</x:v>
      </x:c>
      <x:c r="K68" s="11" t="str"/>
      <x:c r="L68" s="12" t="e">
        <x:f>HYPERLINK("https://registration.awsevents.com/flow/awsevents/reinvent2026/eventcatalog/page/eventcatalog?search=STG331-R","公式カタログ")</x:f>
        <x:v>HYPERLINK is not implemented. linkLocation=https://registration.awsevents.com/flow/awsevents/reinvent2026/eventcatalog/page/eventcatalog?search=STG331-R, friendlyName=公式カタログ</x:v>
      </x:c>
    </x:row>
    <x:row r="69" ht="60" customHeight="1">
      <x:c r="A69" s="10" t="str">
        <x:v>STG331</x:v>
      </x:c>
      <x:c r="B69" s="10" t="str">
        <x:v>STG331-R1</x:v>
      </x:c>
      <x:c r="C69" s="10" t="str">
        <x:v>Build a fully managed data lake with Amazon S3 Tables (STG331-R1)</x:v>
      </x:c>
      <x:c r="D69" s="11" t="str">
        <x:v>未確認</x:v>
      </x:c>
      <x:c r="E69" s="13"/>
      <x:c r="F69" s="14"/>
      <x:c r="G69" s="14"/>
      <x:c r="H69" s="11" t="str"/>
      <x:c r="I69" s="11" t="str">
        <x:v>未確認</x:v>
      </x:c>
      <x:c r="J69" s="10" t="str">
        <x:v>掲載表示なし</x:v>
      </x:c>
      <x:c r="K69" s="11" t="str"/>
      <x:c r="L69" s="12" t="e">
        <x:f>HYPERLINK("https://registration.awsevents.com/flow/awsevents/reinvent2026/eventcatalog/page/eventcatalog?search=STG331-R1","公式カタログ")</x:f>
        <x:v>HYPERLINK is not implemented. linkLocation=https://registration.awsevents.com/flow/awsevents/reinvent2026/eventcatalog/page/eventcatalog?search=STG331-R1, friendlyName=公式カタログ</x:v>
      </x:c>
    </x:row>
    <x:row r="70" ht="60" customHeight="1">
      <x:c r="A70" s="10" t="str">
        <x:v>SEC315</x:v>
      </x:c>
      <x:c r="B70" s="10" t="str">
        <x:v>SEC315-R</x:v>
      </x:c>
      <x:c r="C70" s="10" t="str">
        <x:v>Advanced AWS Network Security: Defending Against Emerging Threats (SEC315-R)</x:v>
      </x:c>
      <x:c r="D70" s="11" t="str">
        <x:v>未確認</x:v>
      </x:c>
      <x:c r="E70" s="13"/>
      <x:c r="F70" s="14"/>
      <x:c r="G70" s="14"/>
      <x:c r="H70" s="11" t="str"/>
      <x:c r="I70" s="11" t="str">
        <x:v>未確認</x:v>
      </x:c>
      <x:c r="J70" s="10" t="str">
        <x:v>Laptop required</x:v>
      </x:c>
      <x:c r="K70" s="11" t="str"/>
      <x:c r="L70" s="12" t="e">
        <x:f>HYPERLINK("https://registration.awsevents.com/flow/awsevents/reinvent2026/eventcatalog/page/eventcatalog?search=SEC315-R","公式カタログ")</x:f>
        <x:v>HYPERLINK is not implemented. linkLocation=https://registration.awsevents.com/flow/awsevents/reinvent2026/eventcatalog/page/eventcatalog?search=SEC315-R, friendlyName=公式カタログ</x:v>
      </x:c>
    </x:row>
    <x:row r="71" ht="60" customHeight="1">
      <x:c r="A71" s="10" t="str">
        <x:v>SEC315</x:v>
      </x:c>
      <x:c r="B71" s="10" t="str">
        <x:v>SEC315-R1</x:v>
      </x:c>
      <x:c r="C71" s="10" t="str">
        <x:v>Advanced AWS Network Security: Defending Against Emerging Threats (SEC315-R1)</x:v>
      </x:c>
      <x:c r="D71" s="11" t="str">
        <x:v>未確認</x:v>
      </x:c>
      <x:c r="E71" s="13"/>
      <x:c r="F71" s="14"/>
      <x:c r="G71" s="14"/>
      <x:c r="H71" s="11" t="str"/>
      <x:c r="I71" s="11" t="str">
        <x:v>未確認</x:v>
      </x:c>
      <x:c r="J71" s="10" t="str">
        <x:v>Laptop required</x:v>
      </x:c>
      <x:c r="K71" s="11" t="str"/>
      <x:c r="L71" s="12" t="e">
        <x:f>HYPERLINK("https://registration.awsevents.com/flow/awsevents/reinvent2026/eventcatalog/page/eventcatalog?search=SEC315-R1","公式カタログ")</x:f>
        <x:v>HYPERLINK is not implemented. linkLocation=https://registration.awsevents.com/flow/awsevents/reinvent2026/eventcatalog/page/eventcatalog?search=SEC315-R1, friendlyName=公式カタログ</x:v>
      </x:c>
    </x:row>
    <x:row r="72" ht="60" customHeight="1">
      <x:c r="A72" s="10" t="str">
        <x:v>SEC313</x:v>
      </x:c>
      <x:c r="B72" s="10" t="str">
        <x:v>SEC313</x:v>
      </x:c>
      <x:c r="C72" s="10" t="str">
        <x:v>Hands-on with the AWS Network Firewall proxy for secure egress (SEC313)</x:v>
      </x:c>
      <x:c r="D72" s="11" t="str">
        <x:v>未確認</x:v>
      </x:c>
      <x:c r="E72" s="13"/>
      <x:c r="F72" s="14"/>
      <x:c r="G72" s="14"/>
      <x:c r="H72" s="11" t="str"/>
      <x:c r="I72" s="11" t="str">
        <x:v>未確認</x:v>
      </x:c>
      <x:c r="J72" s="10" t="str">
        <x:v>Laptop required</x:v>
      </x:c>
      <x:c r="K72" s="11" t="str"/>
      <x:c r="L72" s="12" t="e">
        <x:f>HYPERLINK("https://registration.awsevents.com/flow/awsevents/reinvent2026/eventcatalog/page/eventcatalog?search=SEC313","公式カタログ")</x:f>
        <x:v>HYPERLINK is not implemented. linkLocation=https://registration.awsevents.com/flow/awsevents/reinvent2026/eventcatalog/page/eventcatalog?search=SEC313, friendlyName=公式カタログ</x:v>
      </x:c>
    </x:row>
    <x:row r="73" ht="60" customHeight="1">
      <x:c r="A73" s="10" t="str">
        <x:v>TNC208</x:v>
      </x:c>
      <x:c r="B73" s="10" t="str">
        <x:v>TNC208</x:v>
      </x:c>
      <x:c r="C73" s="10" t="str">
        <x:v>Automate Penetration Tests with AWS Security Agent (TNC208)</x:v>
      </x:c>
      <x:c r="D73" s="11" t="str">
        <x:v>未確認</x:v>
      </x:c>
      <x:c r="E73" s="13"/>
      <x:c r="F73" s="14"/>
      <x:c r="G73" s="14"/>
      <x:c r="H73" s="11" t="str"/>
      <x:c r="I73" s="11" t="str">
        <x:v>未確認</x:v>
      </x:c>
      <x:c r="J73" s="10" t="str">
        <x:v>掲載表示なし</x:v>
      </x:c>
      <x:c r="K73" s="11" t="str"/>
      <x:c r="L73" s="12" t="e">
        <x:f>HYPERLINK("https://registration.awsevents.com/flow/awsevents/reinvent2026/eventcatalog/page/eventcatalog?search=TNC208","公式カタログ")</x:f>
        <x:v>HYPERLINK is not implemented. linkLocation=https://registration.awsevents.com/flow/awsevents/reinvent2026/eventcatalog/page/eventcatalog?search=TNC208, friendlyName=公式カタログ</x:v>
      </x:c>
    </x:row>
    <x:row r="74" ht="60" customHeight="1">
      <x:c r="A74" s="10" t="str">
        <x:v>TNC215</x:v>
      </x:c>
      <x:c r="B74" s="10" t="str">
        <x:v>TNC215</x:v>
      </x:c>
      <x:c r="C74" s="10" t="str">
        <x:v>Automate Investigations to Resolve Application Failures with AWS DevOps Agent (TNC215)</x:v>
      </x:c>
      <x:c r="D74" s="11" t="str">
        <x:v>未確認</x:v>
      </x:c>
      <x:c r="E74" s="13"/>
      <x:c r="F74" s="14"/>
      <x:c r="G74" s="14"/>
      <x:c r="H74" s="11" t="str"/>
      <x:c r="I74" s="11" t="str">
        <x:v>未確認</x:v>
      </x:c>
      <x:c r="J74" s="10" t="str">
        <x:v>掲載表示なし</x:v>
      </x:c>
      <x:c r="K74" s="11" t="str"/>
      <x:c r="L74" s="12" t="e">
        <x:f>HYPERLINK("https://registration.awsevents.com/flow/awsevents/reinvent2026/eventcatalog/page/eventcatalog?search=TNC215","公式カタログ")</x:f>
        <x:v>HYPERLINK is not implemented. linkLocation=https://registration.awsevents.com/flow/awsevents/reinvent2026/eventcatalog/page/eventcatalog?search=TNC215, friendlyName=公式カタログ</x:v>
      </x:c>
    </x:row>
    <x:row r="75" ht="60" customHeight="1">
      <x:c r="A75" s="10" t="str">
        <x:v>SEC410</x:v>
      </x:c>
      <x:c r="B75" s="10" t="str">
        <x:v>SEC410</x:v>
      </x:c>
      <x:c r="C75" s="10" t="str">
        <x:v>AWS Security Incident Response Challenge: Defend the Cake (SEC410)</x:v>
      </x:c>
      <x:c r="D75" s="11" t="str">
        <x:v>未確認</x:v>
      </x:c>
      <x:c r="E75" s="13"/>
      <x:c r="F75" s="14"/>
      <x:c r="G75" s="14"/>
      <x:c r="H75" s="11" t="str"/>
      <x:c r="I75" s="11" t="str">
        <x:v>未確認</x:v>
      </x:c>
      <x:c r="J75" s="10" t="str">
        <x:v>Laptop required</x:v>
      </x:c>
      <x:c r="K75" s="11" t="str"/>
      <x:c r="L75" s="12" t="e">
        <x:f>HYPERLINK("https://registration.awsevents.com/flow/awsevents/reinvent2026/eventcatalog/page/eventcatalog?search=SEC410","公式カタログ")</x:f>
        <x:v>HYPERLINK is not implemented. linkLocation=https://registration.awsevents.com/flow/awsevents/reinvent2026/eventcatalog/page/eventcatalog?search=SEC410, friendlyName=公式カタログ</x:v>
      </x:c>
    </x:row>
    <x:row r="76" ht="60" customHeight="1">
      <x:c r="A76" s="10" t="str">
        <x:v>SEC401</x:v>
      </x:c>
      <x:c r="B76" s="10" t="str">
        <x:v>SEC401</x:v>
      </x:c>
      <x:c r="C76" s="10" t="str">
        <x:v>Winning the DDoS Game: defend your app under real-time attack (SEC401)</x:v>
      </x:c>
      <x:c r="D76" s="11" t="str">
        <x:v>未確認</x:v>
      </x:c>
      <x:c r="E76" s="13"/>
      <x:c r="F76" s="14"/>
      <x:c r="G76" s="14"/>
      <x:c r="H76" s="11" t="str"/>
      <x:c r="I76" s="11" t="str">
        <x:v>未確認</x:v>
      </x:c>
      <x:c r="J76" s="10" t="str">
        <x:v>Laptop required</x:v>
      </x:c>
      <x:c r="K76" s="11" t="str"/>
      <x:c r="L76" s="12" t="e">
        <x:f>HYPERLINK("https://registration.awsevents.com/flow/awsevents/reinvent2026/eventcatalog/page/eventcatalog?search=SEC401","公式カタログ")</x:f>
        <x:v>HYPERLINK is not implemented. linkLocation=https://registration.awsevents.com/flow/awsevents/reinvent2026/eventcatalog/page/eventcatalog?search=SEC401, friendlyName=公式カタログ</x:v>
      </x:c>
    </x:row>
    <x:row r="77" ht="60" customHeight="1">
      <x:c r="A77" s="10" t="str">
        <x:v>SEC316</x:v>
      </x:c>
      <x:c r="B77" s="10" t="str">
        <x:v>SEC316</x:v>
      </x:c>
      <x:c r="C77" s="10" t="str">
        <x:v>Crypto Escape Room: Race to migrate to quantum resistance (SEC316)</x:v>
      </x:c>
      <x:c r="D77" s="11" t="str">
        <x:v>未確認</x:v>
      </x:c>
      <x:c r="E77" s="13"/>
      <x:c r="F77" s="14"/>
      <x:c r="G77" s="14"/>
      <x:c r="H77" s="11" t="str"/>
      <x:c r="I77" s="11" t="str">
        <x:v>未確認</x:v>
      </x:c>
      <x:c r="J77" s="10" t="str">
        <x:v>Laptop required</x:v>
      </x:c>
      <x:c r="K77" s="11" t="str"/>
      <x:c r="L77" s="12" t="e">
        <x:f>HYPERLINK("https://registration.awsevents.com/flow/awsevents/reinvent2026/eventcatalog/page/eventcatalog?search=SEC316","公式カタログ")</x:f>
        <x:v>HYPERLINK is not implemented. linkLocation=https://registration.awsevents.com/flow/awsevents/reinvent2026/eventcatalog/page/eventcatalog?search=SEC316, friendlyName=公式カタログ</x:v>
      </x:c>
    </x:row>
    <x:row r="78" ht="60" customHeight="1">
      <x:c r="A78" s="10" t="str">
        <x:v>ANT444</x:v>
      </x:c>
      <x:c r="B78" s="10" t="str">
        <x:v>ANT444</x:v>
      </x:c>
      <x:c r="C78" s="10" t="str">
        <x:v>Build conversational AI agents for query federation with Amazon Athena (ANT444)</x:v>
      </x:c>
      <x:c r="D78" s="11" t="str">
        <x:v>未確認</x:v>
      </x:c>
      <x:c r="E78" s="13"/>
      <x:c r="F78" s="14"/>
      <x:c r="G78" s="14"/>
      <x:c r="H78" s="11" t="str"/>
      <x:c r="I78" s="11" t="str">
        <x:v>未確認</x:v>
      </x:c>
      <x:c r="J78" s="10" t="str">
        <x:v>Laptop required</x:v>
      </x:c>
      <x:c r="K78" s="11" t="str"/>
      <x:c r="L78" s="12" t="e">
        <x:f>HYPERLINK("https://registration.awsevents.com/flow/awsevents/reinvent2026/eventcatalog/page/eventcatalog?search=ANT444","公式カタログ")</x:f>
        <x:v>HYPERLINK is not implemented. linkLocation=https://registration.awsevents.com/flow/awsevents/reinvent2026/eventcatalog/page/eventcatalog?search=ANT444, friendlyName=公式カタログ</x:v>
      </x:c>
    </x:row>
    <x:row r="79" ht="60" customHeight="1">
      <x:c r="A79" s="10" t="str">
        <x:v>SEC404</x:v>
      </x:c>
      <x:c r="B79" s="10" t="str">
        <x:v>SEC404</x:v>
      </x:c>
      <x:c r="C79" s="10" t="str">
        <x:v>Ship Permissions Faster: IAM Policy Tools in Your CI/CD Pipeline (SEC404)</x:v>
      </x:c>
      <x:c r="D79" s="11" t="str">
        <x:v>未確認</x:v>
      </x:c>
      <x:c r="E79" s="13"/>
      <x:c r="F79" s="14"/>
      <x:c r="G79" s="14"/>
      <x:c r="H79" s="11" t="str"/>
      <x:c r="I79" s="11" t="str">
        <x:v>未確認</x:v>
      </x:c>
      <x:c r="J79" s="10" t="str">
        <x:v>Laptop required</x:v>
      </x:c>
      <x:c r="K79" s="11" t="str"/>
      <x:c r="L79" s="12" t="e">
        <x:f>HYPERLINK("https://registration.awsevents.com/flow/awsevents/reinvent2026/eventcatalog/page/eventcatalog?search=SEC404","公式カタログ")</x:f>
        <x:v>HYPERLINK is not implemented. linkLocation=https://registration.awsevents.com/flow/awsevents/reinvent2026/eventcatalog/page/eventcatalog?search=SEC404, friendlyName=公式カタログ</x:v>
      </x:c>
    </x:row>
    <x:row r="80" ht="60" customHeight="1">
      <x:c r="A80" s="10" t="str">
        <x:v>CON304</x:v>
      </x:c>
      <x:c r="B80" s="10" t="str">
        <x:v>CON304-R</x:v>
      </x:c>
      <x:c r="C80" s="10" t="str">
        <x:v>Accelerate declarative resource management with Amazon EKS Capabilities (CON304-R)</x:v>
      </x:c>
      <x:c r="D80" s="11" t="str">
        <x:v>未確認</x:v>
      </x:c>
      <x:c r="E80" s="13"/>
      <x:c r="F80" s="14"/>
      <x:c r="G80" s="14"/>
      <x:c r="H80" s="11" t="str"/>
      <x:c r="I80" s="11" t="str">
        <x:v>未確認</x:v>
      </x:c>
      <x:c r="J80" s="10" t="str">
        <x:v>Laptop required</x:v>
      </x:c>
      <x:c r="K80" s="11" t="str"/>
      <x:c r="L80" s="12" t="e">
        <x:f>HYPERLINK("https://registration.awsevents.com/flow/awsevents/reinvent2026/eventcatalog/page/eventcatalog?search=CON304-R","公式カタログ")</x:f>
        <x:v>HYPERLINK is not implemented. linkLocation=https://registration.awsevents.com/flow/awsevents/reinvent2026/eventcatalog/page/eventcatalog?search=CON304-R, friendlyName=公式カタログ</x:v>
      </x:c>
    </x:row>
    <x:row r="81" ht="60" customHeight="1">
      <x:c r="A81" s="10" t="str">
        <x:v>CON304</x:v>
      </x:c>
      <x:c r="B81" s="10" t="str">
        <x:v>CON304-R1</x:v>
      </x:c>
      <x:c r="C81" s="10" t="str">
        <x:v>Accelerate declarative resource management with Amazon EKS Capabilities (CON304-R1)</x:v>
      </x:c>
      <x:c r="D81" s="11" t="str">
        <x:v>未確認</x:v>
      </x:c>
      <x:c r="E81" s="13"/>
      <x:c r="F81" s="14"/>
      <x:c r="G81" s="14"/>
      <x:c r="H81" s="11" t="str"/>
      <x:c r="I81" s="11" t="str">
        <x:v>未確認</x:v>
      </x:c>
      <x:c r="J81" s="10" t="str">
        <x:v>Laptop required</x:v>
      </x:c>
      <x:c r="K81" s="11" t="str"/>
      <x:c r="L81" s="12" t="e">
        <x:f>HYPERLINK("https://registration.awsevents.com/flow/awsevents/reinvent2026/eventcatalog/page/eventcatalog?search=CON304-R1","公式カタログ")</x:f>
        <x:v>HYPERLINK is not implemented. linkLocation=https://registration.awsevents.com/flow/awsevents/reinvent2026/eventcatalog/page/eventcatalog?search=CON304-R1, friendlyName=公式カタログ</x:v>
      </x:c>
    </x:row>
    <x:row r="82" ht="60" customHeight="1">
      <x:c r="A82" s="10" t="str">
        <x:v>SVS320</x:v>
      </x:c>
      <x:c r="B82" s="10" t="str">
        <x:v>SVS320</x:v>
      </x:c>
      <x:c r="C82" s="10" t="str">
        <x:v>Same code, any compute: Portable architecture on AWS (SVS320)</x:v>
      </x:c>
      <x:c r="D82" s="11" t="str">
        <x:v>未確認</x:v>
      </x:c>
      <x:c r="E82" s="13"/>
      <x:c r="F82" s="14"/>
      <x:c r="G82" s="14"/>
      <x:c r="H82" s="11" t="str"/>
      <x:c r="I82" s="11" t="str">
        <x:v>未確認</x:v>
      </x:c>
      <x:c r="J82" s="10" t="str">
        <x:v>Laptop required</x:v>
      </x:c>
      <x:c r="K82" s="11" t="str"/>
      <x:c r="L82" s="12" t="e">
        <x:f>HYPERLINK("https://registration.awsevents.com/flow/awsevents/reinvent2026/eventcatalog/page/eventcatalog?search=SVS320","公式カタログ")</x:f>
        <x:v>HYPERLINK is not implemented. linkLocation=https://registration.awsevents.com/flow/awsevents/reinvent2026/eventcatalog/page/eventcatalog?search=SVS320, friendlyName=公式カタログ</x:v>
      </x:c>
    </x:row>
    <x:row r="83" ht="60" customHeight="1">
      <x:c r="A83" s="10" t="str">
        <x:v>CON302</x:v>
      </x:c>
      <x:c r="B83" s="10" t="str">
        <x:v>CON302</x:v>
      </x:c>
      <x:c r="C83" s="10" t="str">
        <x:v>Hybrid Kubernetes made simple: EKS Hybrid Nodes gateway for on-prem and edge AI (CON302)</x:v>
      </x:c>
      <x:c r="D83" s="11" t="str">
        <x:v>未確認</x:v>
      </x:c>
      <x:c r="E83" s="13"/>
      <x:c r="F83" s="14"/>
      <x:c r="G83" s="14"/>
      <x:c r="H83" s="11" t="str"/>
      <x:c r="I83" s="11" t="str">
        <x:v>未確認</x:v>
      </x:c>
      <x:c r="J83" s="10" t="str">
        <x:v>Laptop required</x:v>
      </x:c>
      <x:c r="K83" s="11" t="str"/>
      <x:c r="L83" s="12" t="e">
        <x:f>HYPERLINK("https://registration.awsevents.com/flow/awsevents/reinvent2026/eventcatalog/page/eventcatalog?search=CON302","公式カタログ")</x:f>
        <x:v>HYPERLINK is not implemented. linkLocation=https://registration.awsevents.com/flow/awsevents/reinvent2026/eventcatalog/page/eventcatalog?search=CON302, friendlyName=公式カタログ</x:v>
      </x:c>
    </x:row>
    <x:row r="84" ht="60" customHeight="1">
      <x:c r="A84" s="10" t="str">
        <x:v>DAT432</x:v>
      </x:c>
      <x:c r="B84" s="10" t="str">
        <x:v>DAT432</x:v>
      </x:c>
      <x:c r="C84" s="10" t="str">
        <x:v>Build eval-driven skills for Aurora PostgreSQL operations (DAT432)</x:v>
      </x:c>
      <x:c r="D84" s="11" t="str">
        <x:v>未確認</x:v>
      </x:c>
      <x:c r="E84" s="13"/>
      <x:c r="F84" s="14"/>
      <x:c r="G84" s="14"/>
      <x:c r="H84" s="11" t="str"/>
      <x:c r="I84" s="11" t="str">
        <x:v>未確認</x:v>
      </x:c>
      <x:c r="J84" s="10" t="str">
        <x:v>Laptop required</x:v>
      </x:c>
      <x:c r="K84" s="11" t="str"/>
      <x:c r="L84" s="12" t="e">
        <x:f>HYPERLINK("https://registration.awsevents.com/flow/awsevents/reinvent2026/eventcatalog/page/eventcatalog?search=DAT432","公式カタログ")</x:f>
        <x:v>HYPERLINK is not implemented. linkLocation=https://registration.awsevents.com/flow/awsevents/reinvent2026/eventcatalog/page/eventcatalog?search=DAT432, friendlyName=公式カタログ</x:v>
      </x:c>
    </x:row>
    <x:row r="85" ht="60" customHeight="1">
      <x:c r="A85" s="10" t="str">
        <x:v>DAT301</x:v>
      </x:c>
      <x:c r="B85" s="10" t="str">
        <x:v>DAT301-R</x:v>
      </x:c>
      <x:c r="C85" s="10" t="str">
        <x:v>Autonomous DBOps: Agentic AI for maintaining databases (DAT301-R)</x:v>
      </x:c>
      <x:c r="D85" s="11" t="str">
        <x:v>未確認</x:v>
      </x:c>
      <x:c r="E85" s="13"/>
      <x:c r="F85" s="14"/>
      <x:c r="G85" s="14"/>
      <x:c r="H85" s="11" t="str"/>
      <x:c r="I85" s="11" t="str">
        <x:v>未確認</x:v>
      </x:c>
      <x:c r="J85" s="10" t="str">
        <x:v>Laptop required</x:v>
      </x:c>
      <x:c r="K85" s="11" t="str"/>
      <x:c r="L85" s="12" t="e">
        <x:f>HYPERLINK("https://registration.awsevents.com/flow/awsevents/reinvent2026/eventcatalog/page/eventcatalog?search=DAT301-R","公式カタログ")</x:f>
        <x:v>HYPERLINK is not implemented. linkLocation=https://registration.awsevents.com/flow/awsevents/reinvent2026/eventcatalog/page/eventcatalog?search=DAT301-R, friendlyName=公式カタログ</x:v>
      </x:c>
    </x:row>
    <x:row r="86" ht="60" customHeight="1">
      <x:c r="A86" s="10" t="str">
        <x:v>DAT301</x:v>
      </x:c>
      <x:c r="B86" s="10" t="str">
        <x:v>DAT301-R1</x:v>
      </x:c>
      <x:c r="C86" s="10" t="str">
        <x:v>Autonomous DBOps: Agentic AI for maintaining databases (DAT301-R1)</x:v>
      </x:c>
      <x:c r="D86" s="11" t="str">
        <x:v>未確認</x:v>
      </x:c>
      <x:c r="E86" s="13"/>
      <x:c r="F86" s="14"/>
      <x:c r="G86" s="14"/>
      <x:c r="H86" s="11" t="str"/>
      <x:c r="I86" s="11" t="str">
        <x:v>未確認</x:v>
      </x:c>
      <x:c r="J86" s="10" t="str">
        <x:v>Laptop required</x:v>
      </x:c>
      <x:c r="K86" s="11" t="str"/>
      <x:c r="L86" s="12" t="e">
        <x:f>HYPERLINK("https://registration.awsevents.com/flow/awsevents/reinvent2026/eventcatalog/page/eventcatalog?search=DAT301-R1","公式カタログ")</x:f>
        <x:v>HYPERLINK is not implemented. linkLocation=https://registration.awsevents.com/flow/awsevents/reinvent2026/eventcatalog/page/eventcatalog?search=DAT301-R1, friendlyName=公式カタログ</x:v>
      </x:c>
    </x:row>
    <x:row r="87" ht="60" customHeight="1">
      <x:c r="A87" s="10" t="str">
        <x:v>STG406</x:v>
      </x:c>
      <x:c r="B87" s="10" t="str">
        <x:v>STG406-R</x:v>
      </x:c>
      <x:c r="C87" s="10" t="str">
        <x:v>Advanced S3 performance engineering: From multipart to resilience (STG406-R)</x:v>
      </x:c>
      <x:c r="D87" s="11" t="str">
        <x:v>未確認</x:v>
      </x:c>
      <x:c r="E87" s="13"/>
      <x:c r="F87" s="14"/>
      <x:c r="G87" s="14"/>
      <x:c r="H87" s="11" t="str"/>
      <x:c r="I87" s="11" t="str">
        <x:v>未確認</x:v>
      </x:c>
      <x:c r="J87" s="10" t="str">
        <x:v>Laptop required</x:v>
      </x:c>
      <x:c r="K87" s="11" t="str"/>
      <x:c r="L87" s="12" t="e">
        <x:f>HYPERLINK("https://registration.awsevents.com/flow/awsevents/reinvent2026/eventcatalog/page/eventcatalog?search=STG406-R","公式カタログ")</x:f>
        <x:v>HYPERLINK is not implemented. linkLocation=https://registration.awsevents.com/flow/awsevents/reinvent2026/eventcatalog/page/eventcatalog?search=STG406-R, friendlyName=公式カタログ</x:v>
      </x:c>
    </x:row>
    <x:row r="88" ht="60" customHeight="1">
      <x:c r="A88" s="10" t="str">
        <x:v>STG406</x:v>
      </x:c>
      <x:c r="B88" s="10" t="str">
        <x:v>STG406-R1</x:v>
      </x:c>
      <x:c r="C88" s="10" t="str">
        <x:v>Advanced S3 performance engineering: From multipart to resilience (STG406-R1)</x:v>
      </x:c>
      <x:c r="D88" s="11" t="str">
        <x:v>未確認</x:v>
      </x:c>
      <x:c r="E88" s="13"/>
      <x:c r="F88" s="14"/>
      <x:c r="G88" s="14"/>
      <x:c r="H88" s="11" t="str"/>
      <x:c r="I88" s="11" t="str">
        <x:v>未確認</x:v>
      </x:c>
      <x:c r="J88" s="10" t="str">
        <x:v>Laptop required</x:v>
      </x:c>
      <x:c r="K88" s="11" t="str"/>
      <x:c r="L88" s="12" t="e">
        <x:f>HYPERLINK("https://registration.awsevents.com/flow/awsevents/reinvent2026/eventcatalog/page/eventcatalog?search=STG406-R1","公式カタログ")</x:f>
        <x:v>HYPERLINK is not implemented. linkLocation=https://registration.awsevents.com/flow/awsevents/reinvent2026/eventcatalog/page/eventcatalog?search=STG406-R1, friendlyName=公式カタログ</x:v>
      </x:c>
    </x:row>
    <x:row r="89" ht="60" customHeight="1">
      <x:c r="A89" s="10" t="str">
        <x:v>STG403</x:v>
      </x:c>
      <x:c r="B89" s="10" t="str">
        <x:v>STG403</x:v>
      </x:c>
      <x:c r="C89" s="10" t="str">
        <x:v>Build a real-time data lakehouse with CDC streams on S3 Tables (STG403)</x:v>
      </x:c>
      <x:c r="D89" s="11" t="str">
        <x:v>未確認</x:v>
      </x:c>
      <x:c r="E89" s="13"/>
      <x:c r="F89" s="14"/>
      <x:c r="G89" s="14"/>
      <x:c r="H89" s="11" t="str"/>
      <x:c r="I89" s="11" t="str">
        <x:v>未確認</x:v>
      </x:c>
      <x:c r="J89" s="10" t="str">
        <x:v>Laptop required</x:v>
      </x:c>
      <x:c r="K89" s="11" t="str"/>
      <x:c r="L89" s="12" t="e">
        <x:f>HYPERLINK("https://registration.awsevents.com/flow/awsevents/reinvent2026/eventcatalog/page/eventcatalog?search=STG403","公式カタログ")</x:f>
        <x:v>HYPERLINK is not implemented. linkLocation=https://registration.awsevents.com/flow/awsevents/reinvent2026/eventcatalog/page/eventcatalog?search=STG403, friendlyName=公式カタログ</x:v>
      </x:c>
    </x:row>
    <x:row r="90" ht="60" customHeight="1">
      <x:c r="A90" s="10" t="str">
        <x:v>STG340</x:v>
      </x:c>
      <x:c r="B90" s="10" t="str">
        <x:v>STG340</x:v>
      </x:c>
      <x:c r="C90" s="10" t="str">
        <x:v>Improving your database agility with Amazon FSx (STG340)</x:v>
      </x:c>
      <x:c r="D90" s="11" t="str">
        <x:v>未確認</x:v>
      </x:c>
      <x:c r="E90" s="13"/>
      <x:c r="F90" s="14"/>
      <x:c r="G90" s="14"/>
      <x:c r="H90" s="11" t="str"/>
      <x:c r="I90" s="11" t="str">
        <x:v>未確認</x:v>
      </x:c>
      <x:c r="J90" s="10" t="str">
        <x:v>Laptop required</x:v>
      </x:c>
      <x:c r="K90" s="11" t="str"/>
      <x:c r="L90" s="12" t="e">
        <x:f>HYPERLINK("https://registration.awsevents.com/flow/awsevents/reinvent2026/eventcatalog/page/eventcatalog?search=STG340","公式カタログ")</x:f>
        <x:v>HYPERLINK is not implemented. linkLocation=https://registration.awsevents.com/flow/awsevents/reinvent2026/eventcatalog/page/eventcatalog?search=STG340, friendlyName=公式カタログ</x:v>
      </x:c>
    </x:row>
    <x:row r="91" ht="60" customHeight="1">
      <x:c r="A91" s="10" t="str">
        <x:v>SEC408</x:v>
      </x:c>
      <x:c r="B91" s="10" t="str">
        <x:v>SEC408-R</x:v>
      </x:c>
      <x:c r="C91" s="10" t="str">
        <x:v>Build a container pipeline that blocks tampered images at the gate (SEC408-R)</x:v>
      </x:c>
      <x:c r="D91" s="11" t="str">
        <x:v>未確認</x:v>
      </x:c>
      <x:c r="E91" s="13"/>
      <x:c r="F91" s="14"/>
      <x:c r="G91" s="14"/>
      <x:c r="H91" s="11" t="str"/>
      <x:c r="I91" s="11" t="str">
        <x:v>未確認</x:v>
      </x:c>
      <x:c r="J91" s="10" t="str">
        <x:v>Laptop required</x:v>
      </x:c>
      <x:c r="K91" s="11" t="str"/>
      <x:c r="L91" s="12" t="e">
        <x:f>HYPERLINK("https://registration.awsevents.com/flow/awsevents/reinvent2026/eventcatalog/page/eventcatalog?search=SEC408-R","公式カタログ")</x:f>
        <x:v>HYPERLINK is not implemented. linkLocation=https://registration.awsevents.com/flow/awsevents/reinvent2026/eventcatalog/page/eventcatalog?search=SEC408-R, friendlyName=公式カタログ</x:v>
      </x:c>
    </x:row>
    <x:row r="92" ht="60" customHeight="1">
      <x:c r="A92" s="10" t="str">
        <x:v>SEC408</x:v>
      </x:c>
      <x:c r="B92" s="10" t="str">
        <x:v>SEC408-R1</x:v>
      </x:c>
      <x:c r="C92" s="10" t="str">
        <x:v>Build a container pipeline that blocks tampered images at the gate (SEC408-R1)</x:v>
      </x:c>
      <x:c r="D92" s="11" t="str">
        <x:v>未確認</x:v>
      </x:c>
      <x:c r="E92" s="13"/>
      <x:c r="F92" s="14"/>
      <x:c r="G92" s="14"/>
      <x:c r="H92" s="11" t="str"/>
      <x:c r="I92" s="11" t="str">
        <x:v>未確認</x:v>
      </x:c>
      <x:c r="J92" s="10" t="str">
        <x:v>Laptop required</x:v>
      </x:c>
      <x:c r="K92" s="11" t="str"/>
      <x:c r="L92" s="12" t="e">
        <x:f>HYPERLINK("https://registration.awsevents.com/flow/awsevents/reinvent2026/eventcatalog/page/eventcatalog?search=SEC408-R1","公式カタログ")</x:f>
        <x:v>HYPERLINK is not implemented. linkLocation=https://registration.awsevents.com/flow/awsevents/reinvent2026/eventcatalog/page/eventcatalog?search=SEC408-R1, friendlyName=公式カタログ</x:v>
      </x:c>
    </x:row>
    <x:row r="93" ht="60" customHeight="1">
      <x:c r="A93" s="10" t="str">
        <x:v>TNC332</x:v>
      </x:c>
      <x:c r="B93" s="10" t="str">
        <x:v>TNC332</x:v>
      </x:c>
      <x:c r="C93" s="10" t="str">
        <x:v>Secure AI Agent Access with AgentCore Identity (TNC332)</x:v>
      </x:c>
      <x:c r="D93" s="11" t="str">
        <x:v>未確認</x:v>
      </x:c>
      <x:c r="E93" s="13"/>
      <x:c r="F93" s="14"/>
      <x:c r="G93" s="14"/>
      <x:c r="H93" s="11" t="str"/>
      <x:c r="I93" s="11" t="str">
        <x:v>未確認</x:v>
      </x:c>
      <x:c r="J93" s="10" t="str">
        <x:v>掲載表示なし</x:v>
      </x:c>
      <x:c r="K93" s="11" t="str"/>
      <x:c r="L93" s="12" t="e">
        <x:f>HYPERLINK("https://registration.awsevents.com/flow/awsevents/reinvent2026/eventcatalog/page/eventcatalog?search=TNC332","公式カタログ")</x:f>
        <x:v>HYPERLINK is not implemented. linkLocation=https://registration.awsevents.com/flow/awsevents/reinvent2026/eventcatalog/page/eventcatalog?search=TNC332, friendlyName=公式カタログ</x:v>
      </x:c>
    </x:row>
  </x:sheetData>
  <x:conditionalFormatting sqref="D8:D93">
    <x:cfRule type="containsText" dxfId="2" priority="1" operator="containsText" text="予約済"/>
  </x:conditionalFormatting>
  <x:dataValidations count="2">
    <x:dataValidation type="list" sqref="D8:D93">
      <x:formula1>"未確認,お気に入り,予約済,満席,walk-up検討,見送り"</x:formula1>
    </x:dataValidation>
    <x:dataValidation type="list" sqref="I8:I93">
      <x:formula1>"未確認,確認済"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d85689b8084336"/>
  </x:tableParts>
</x:worksheet>
</file>